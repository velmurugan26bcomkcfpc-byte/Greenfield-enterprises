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Financial statement\"/>
    </mc:Choice>
  </mc:AlternateContent>
  <bookViews>
    <workbookView xWindow="0" yWindow="0" windowWidth="14380" windowHeight="4100" firstSheet="3" activeTab="7"/>
  </bookViews>
  <sheets>
    <sheet name="Transactions " sheetId="1" r:id="rId1"/>
    <sheet name="Journal" sheetId="2" r:id="rId2"/>
    <sheet name="ledger" sheetId="4" r:id="rId3"/>
    <sheet name="Trial balance " sheetId="5" r:id="rId4"/>
    <sheet name="Trading account" sheetId="6" r:id="rId5"/>
    <sheet name="Profit &amp; loss account" sheetId="7" r:id="rId6"/>
    <sheet name="Balance sheet" sheetId="8" r:id="rId7"/>
    <sheet name="Ratio analysis 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8" l="1"/>
  <c r="F11" i="6"/>
  <c r="C11" i="6"/>
  <c r="D37" i="5"/>
  <c r="C37" i="5"/>
  <c r="H12" i="4"/>
  <c r="D12" i="4"/>
  <c r="D128" i="4" l="1"/>
  <c r="H128" i="4"/>
  <c r="H117" i="4"/>
  <c r="D117" i="4"/>
  <c r="H109" i="4"/>
  <c r="D109" i="4"/>
  <c r="D101" i="4"/>
  <c r="H101" i="4"/>
  <c r="D93" i="4"/>
  <c r="H93" i="4"/>
  <c r="H85" i="4"/>
  <c r="D85" i="4"/>
  <c r="D77" i="4"/>
  <c r="H77" i="4"/>
  <c r="D67" i="4"/>
  <c r="H67" i="4"/>
  <c r="D58" i="4"/>
  <c r="H58" i="4"/>
  <c r="H48" i="4"/>
  <c r="D48" i="4"/>
  <c r="H37" i="4"/>
  <c r="I33" i="4"/>
  <c r="D37" i="4"/>
</calcChain>
</file>

<file path=xl/sharedStrings.xml><?xml version="1.0" encoding="utf-8"?>
<sst xmlns="http://schemas.openxmlformats.org/spreadsheetml/2006/main" count="716" uniqueCount="396">
  <si>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</si>
  <si>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</si>
  <si>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</si>
  <si>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</si>
  <si>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</si>
  <si>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</si>
  <si>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</si>
  <si>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</si>
  <si>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</si>
  <si>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</si>
  <si>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</si>
  <si>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</si>
  <si>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</si>
  <si>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</si>
  <si>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</si>
  <si>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</si>
  <si>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</si>
  <si>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</si>
  <si>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</si>
  <si>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</si>
  <si>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</si>
  <si>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</si>
  <si>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</si>
  <si>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</si>
  <si>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</si>
  <si>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</si>
  <si>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</si>
  <si>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</si>
  <si>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</si>
  <si>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</si>
  <si>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</si>
  <si>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</si>
  <si>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</si>
  <si>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</si>
  <si>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</si>
  <si>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</si>
  <si>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</si>
  <si>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</si>
  <si>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</si>
  <si>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</si>
  <si>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</si>
  <si>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</si>
  <si>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</si>
  <si>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</si>
  <si>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</si>
  <si>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</si>
  <si>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</si>
  <si>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</si>
  <si>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</si>
  <si>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</si>
  <si>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</si>
  <si>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</si>
  <si>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</si>
  <si>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</si>
  <si>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</si>
  <si>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</si>
  <si>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</si>
  <si>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</si>
  <si>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</si>
  <si>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</si>
  <si>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</si>
  <si>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</si>
  <si>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</si>
  <si>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</si>
  <si>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</si>
  <si>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</si>
  <si>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</si>
  <si>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</si>
  <si>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</si>
  <si>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</si>
  <si>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</si>
  <si>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</si>
  <si>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In the book of Journal Entries of M/s Greenfield Enterprises as on 1st April 2026</t>
  </si>
  <si>
    <t>L.F</t>
  </si>
  <si>
    <t>Debit ₹</t>
  </si>
  <si>
    <t>Credit ₹</t>
  </si>
  <si>
    <t>02.04.2026</t>
  </si>
  <si>
    <t>Purchase a/c</t>
  </si>
  <si>
    <t>To Royal Suppliers a/c</t>
  </si>
  <si>
    <t>(Being Goods Purchased )</t>
  </si>
  <si>
    <t>Dr</t>
  </si>
  <si>
    <t>03.04.2026</t>
  </si>
  <si>
    <t>To Cash a/c</t>
  </si>
  <si>
    <t>04.04.2026</t>
  </si>
  <si>
    <t>Arjun Traders a/c</t>
  </si>
  <si>
    <t>To Sales a/c</t>
  </si>
  <si>
    <t>(Being Goods Sold )</t>
  </si>
  <si>
    <t xml:space="preserve">Dr </t>
  </si>
  <si>
    <t>05.04.2026</t>
  </si>
  <si>
    <t xml:space="preserve">Cash a/c </t>
  </si>
  <si>
    <t>(Being goods sold )</t>
  </si>
  <si>
    <t>06.04.2026</t>
  </si>
  <si>
    <t>Carriage Inward a/c</t>
  </si>
  <si>
    <t>(Being Cash Paid )</t>
  </si>
  <si>
    <t>07.04.2026</t>
  </si>
  <si>
    <t>Wages a/c</t>
  </si>
  <si>
    <t>08.04.2026</t>
  </si>
  <si>
    <t>Royal Suppliers a/c</t>
  </si>
  <si>
    <t xml:space="preserve">To Purchase Return a/c </t>
  </si>
  <si>
    <t>(Being Goods Returned)</t>
  </si>
  <si>
    <t>09.04.2026</t>
  </si>
  <si>
    <t>Sales Return a/c</t>
  </si>
  <si>
    <t>To Arjun Traders a/c</t>
  </si>
  <si>
    <t>10.04.2026</t>
  </si>
  <si>
    <t>Computer a/c</t>
  </si>
  <si>
    <t>To Bank a/c</t>
  </si>
  <si>
    <t>(Being Computer Purchased)</t>
  </si>
  <si>
    <t>11.04.2026</t>
  </si>
  <si>
    <t>Salary a/c</t>
  </si>
  <si>
    <t>12.04.2026</t>
  </si>
  <si>
    <t>Discount allowed a/c</t>
  </si>
  <si>
    <t>(Being Discount allowed )</t>
  </si>
  <si>
    <t>13.04.2026</t>
  </si>
  <si>
    <t>By Discount Received a/c</t>
  </si>
  <si>
    <t>By Bank a/c</t>
  </si>
  <si>
    <t>(Being Paid Royal Suppliers )</t>
  </si>
  <si>
    <t>14.04.2026</t>
  </si>
  <si>
    <t>Rent a/c</t>
  </si>
  <si>
    <t>(Being Rent Paid )</t>
  </si>
  <si>
    <t>15.04.2026</t>
  </si>
  <si>
    <t>To Metro Distributors a/c</t>
  </si>
  <si>
    <t>16.04.2026</t>
  </si>
  <si>
    <t>Meera Stores a/c</t>
  </si>
  <si>
    <t>17.04.2026</t>
  </si>
  <si>
    <t>Bank a/c</t>
  </si>
  <si>
    <t>To Meera Stores a/c</t>
  </si>
  <si>
    <t>(Being Cash Received through bank)</t>
  </si>
  <si>
    <t>18.04.2026</t>
  </si>
  <si>
    <t>Electricity Charges a/c</t>
  </si>
  <si>
    <t>(Being Cash paid )</t>
  </si>
  <si>
    <t>19.04.2026</t>
  </si>
  <si>
    <t>To Commission Received a/c</t>
  </si>
  <si>
    <t>(Being Cash Received )</t>
  </si>
  <si>
    <t>20.04.2026</t>
  </si>
  <si>
    <t>(Being Cash withdrawn bank)</t>
  </si>
  <si>
    <t>21.04.2026</t>
  </si>
  <si>
    <t>Drawings a/c</t>
  </si>
  <si>
    <t>(Being Cash withdrawn )</t>
  </si>
  <si>
    <t>22.04.2026</t>
  </si>
  <si>
    <t>Insurance Premium a/c</t>
  </si>
  <si>
    <t>(Being Insurance Premium paid )</t>
  </si>
  <si>
    <t>23.04.2026</t>
  </si>
  <si>
    <t>Carriage Outward a/c</t>
  </si>
  <si>
    <t>24.04.2026</t>
  </si>
  <si>
    <t>To Interest Received a/c</t>
  </si>
  <si>
    <t>(Being Interest received )</t>
  </si>
  <si>
    <t>25.04.2026</t>
  </si>
  <si>
    <t>26.04.2026</t>
  </si>
  <si>
    <t>Advertisement a/c</t>
  </si>
  <si>
    <t>27.04.2026</t>
  </si>
  <si>
    <t>Miscellaneous a/c</t>
  </si>
  <si>
    <t>(Being cash paid)</t>
  </si>
  <si>
    <t>28.04.2026</t>
  </si>
  <si>
    <t xml:space="preserve">Furniture a/c </t>
  </si>
  <si>
    <t>(Being Furniture purchased)</t>
  </si>
  <si>
    <t>29.04.2026</t>
  </si>
  <si>
    <t>Interest on bank loan a/c</t>
  </si>
  <si>
    <t>(Being interest on bank loan)</t>
  </si>
  <si>
    <t>30.04.2026</t>
  </si>
  <si>
    <t>(Being cash deposited into bank)</t>
  </si>
  <si>
    <t>Amount ₹</t>
  </si>
  <si>
    <t xml:space="preserve">In the book of ledger account for green field enterprises </t>
  </si>
  <si>
    <t>J.F</t>
  </si>
  <si>
    <t xml:space="preserve">Date </t>
  </si>
  <si>
    <t xml:space="preserve">Cash account </t>
  </si>
  <si>
    <t>By purchase A/C</t>
  </si>
  <si>
    <t>To Sales A/C</t>
  </si>
  <si>
    <t>By carriage inwards A/C</t>
  </si>
  <si>
    <t>By Wages A/C</t>
  </si>
  <si>
    <t>By Salary A/C</t>
  </si>
  <si>
    <t>To Arjun traders A/C</t>
  </si>
  <si>
    <t>By rent A/C</t>
  </si>
  <si>
    <t>By Electricity charges A/C</t>
  </si>
  <si>
    <t>To comission received A/C</t>
  </si>
  <si>
    <t>To Bank A/C</t>
  </si>
  <si>
    <t>By Drawings A/C</t>
  </si>
  <si>
    <t>23.01.2026</t>
  </si>
  <si>
    <t>By carriage outwards A/c</t>
  </si>
  <si>
    <t>By Advertisement A/C</t>
  </si>
  <si>
    <t>By miscelleaous A/C</t>
  </si>
  <si>
    <t>By Furniture A/C</t>
  </si>
  <si>
    <t>By interest on Bank loan A/C</t>
  </si>
  <si>
    <t>By Bank A/C</t>
  </si>
  <si>
    <t>31.04.2026</t>
  </si>
  <si>
    <t>By balance c/d</t>
  </si>
  <si>
    <t>01.05.2026</t>
  </si>
  <si>
    <t>To balance b/d</t>
  </si>
  <si>
    <t xml:space="preserve">Purchase account </t>
  </si>
  <si>
    <t>To Royal suppliers A/c</t>
  </si>
  <si>
    <t>To Cash A/C</t>
  </si>
  <si>
    <t>To Metro distribution A/C</t>
  </si>
  <si>
    <t xml:space="preserve">Royal suppliers account </t>
  </si>
  <si>
    <t>To Purchase return A/C</t>
  </si>
  <si>
    <t>31.01.2026</t>
  </si>
  <si>
    <t>To balance c/d</t>
  </si>
  <si>
    <t xml:space="preserve">Arjun traders account </t>
  </si>
  <si>
    <t>By Sales return A/C</t>
  </si>
  <si>
    <t xml:space="preserve">By Cash a/c </t>
  </si>
  <si>
    <t>By Discount allowed a/c</t>
  </si>
  <si>
    <t>To  Discount Received a/c</t>
  </si>
  <si>
    <t>01.04.2026</t>
  </si>
  <si>
    <t>By balance b/d</t>
  </si>
  <si>
    <t xml:space="preserve">Sales account </t>
  </si>
  <si>
    <t>By Arjun traders A/C</t>
  </si>
  <si>
    <t>By Cash A/C</t>
  </si>
  <si>
    <t>By meera stores A/C</t>
  </si>
  <si>
    <t xml:space="preserve">Carriage inwards account </t>
  </si>
  <si>
    <t xml:space="preserve">Wages account </t>
  </si>
  <si>
    <t xml:space="preserve">Purchase return account </t>
  </si>
  <si>
    <t>By Royal suppliers A/C</t>
  </si>
  <si>
    <t>Sales return account</t>
  </si>
  <si>
    <t xml:space="preserve">Compters account </t>
  </si>
  <si>
    <t>To bank A/C</t>
  </si>
  <si>
    <t>To balance bd</t>
  </si>
  <si>
    <t>Bank account</t>
  </si>
  <si>
    <t>By Computers A/C</t>
  </si>
  <si>
    <t>To meera stores A/c</t>
  </si>
  <si>
    <t>By insurance premium A/C</t>
  </si>
  <si>
    <t>To interest received A/C</t>
  </si>
  <si>
    <t>To Cash A/c</t>
  </si>
  <si>
    <t>Cash A/C</t>
  </si>
  <si>
    <t>Bank A/C</t>
  </si>
  <si>
    <t>Stock A/C</t>
  </si>
  <si>
    <t>Furniture A/C</t>
  </si>
  <si>
    <t>building A/C</t>
  </si>
  <si>
    <t>Machinery A/C</t>
  </si>
  <si>
    <t>Arun traders A/C</t>
  </si>
  <si>
    <t>Meera stores A/C</t>
  </si>
  <si>
    <t>To capital A/C</t>
  </si>
  <si>
    <t>To Royal suppliers A/C</t>
  </si>
  <si>
    <t>To Bank loan A/C</t>
  </si>
  <si>
    <t>To Metro Distributors A/C</t>
  </si>
  <si>
    <t>(being capital introduced)</t>
  </si>
  <si>
    <t xml:space="preserve"> </t>
  </si>
  <si>
    <t>Capital account</t>
  </si>
  <si>
    <t>To Royal Suppliers A/C</t>
  </si>
  <si>
    <t>To Bank Loan A/C</t>
  </si>
  <si>
    <t>Opening Stock A/C</t>
  </si>
  <si>
    <t>To Balance c/d</t>
  </si>
  <si>
    <t>Building A/C</t>
  </si>
  <si>
    <t>Arjun Traders A/C</t>
  </si>
  <si>
    <t>Meera Stores A/C</t>
  </si>
  <si>
    <t>By Balance b/d</t>
  </si>
  <si>
    <t>S.NO</t>
  </si>
  <si>
    <t>Purchases A/C</t>
  </si>
  <si>
    <t>Royal Suppliers A/C</t>
  </si>
  <si>
    <t>Sales A/C</t>
  </si>
  <si>
    <t>Carriage Inwards A/C</t>
  </si>
  <si>
    <t>Wages A/C</t>
  </si>
  <si>
    <t>Purchase Return A/C</t>
  </si>
  <si>
    <t>Sales Return A/C</t>
  </si>
  <si>
    <t>Computer A/C</t>
  </si>
  <si>
    <t>Salary A/C</t>
  </si>
  <si>
    <t>Discount Allowed A/C</t>
  </si>
  <si>
    <t>Discount Received A/C</t>
  </si>
  <si>
    <t>Rent A/C</t>
  </si>
  <si>
    <t>Metro Distributors A/C</t>
  </si>
  <si>
    <t>Electricity Charges A/C</t>
  </si>
  <si>
    <t>Commission Received A/C</t>
  </si>
  <si>
    <t>Capital A/C</t>
  </si>
  <si>
    <t>Drawings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</si>
  <si>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</si>
  <si>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</si>
  <si>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</si>
  <si>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</si>
  <si>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</si>
  <si>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</si>
  <si>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Bank Loan A/C</t>
  </si>
  <si>
    <t>Total</t>
  </si>
  <si>
    <t xml:space="preserve">Trial Balance </t>
  </si>
  <si>
    <t>To Opening Stock</t>
  </si>
  <si>
    <t>By Sales</t>
  </si>
  <si>
    <t>To Purchases A/C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</si>
  <si>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Sales Return</t>
    </r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</si>
  <si>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Purchase Return</t>
    </r>
  </si>
  <si>
    <t>By Closing Stock</t>
  </si>
  <si>
    <t>Direct Expenses :</t>
  </si>
  <si>
    <t>To Wages A/C</t>
  </si>
  <si>
    <t>To Carriage Inwards A/C</t>
  </si>
  <si>
    <t>To Gross Profit c/d</t>
  </si>
  <si>
    <t xml:space="preserve">Trading Account </t>
  </si>
  <si>
    <t>To Salary A/C</t>
  </si>
  <si>
    <t>By Gross Profit b/d</t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</si>
  <si>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Outstanding Salary</t>
    </r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</si>
  <si>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</si>
  <si>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</si>
  <si>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</si>
  <si>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</si>
  <si>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</si>
  <si>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</si>
  <si>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</si>
  <si>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Prepaid Insurance</t>
    </r>
  </si>
  <si>
    <t>To Carriage Outwards A/C</t>
  </si>
  <si>
    <t>To Advertisement Expenses A/C</t>
  </si>
  <si>
    <t>To Miscellaneous Expenses A/C</t>
  </si>
  <si>
    <t>To Bank Loan Interest A/C</t>
  </si>
  <si>
    <r>
      <rPr>
        <b/>
        <sz val="11"/>
        <color theme="1"/>
        <rFont val="Aptos Narrow"/>
        <family val="2"/>
        <scheme val="minor"/>
      </rPr>
      <t>Add :</t>
    </r>
    <r>
      <rPr>
        <sz val="11"/>
        <color theme="1"/>
        <rFont val="Aptos Narrow"/>
        <family val="2"/>
        <scheme val="minor"/>
      </rPr>
      <t xml:space="preserve"> Accrued Interest on Bank Loan</t>
    </r>
  </si>
  <si>
    <t>To Depreciation on Machinery</t>
  </si>
  <si>
    <t>To Depreciation on Furniture</t>
  </si>
  <si>
    <t xml:space="preserve">To Depreciation on Building </t>
  </si>
  <si>
    <t>To Depreciation on Computer</t>
  </si>
  <si>
    <t xml:space="preserve">To Net Profit </t>
  </si>
  <si>
    <t xml:space="preserve">Profit &amp; Loss Account </t>
  </si>
  <si>
    <t xml:space="preserve">Liabilities </t>
  </si>
  <si>
    <t>Assets</t>
  </si>
  <si>
    <t xml:space="preserve">Balance sheet </t>
  </si>
  <si>
    <t xml:space="preserve">Capital </t>
  </si>
  <si>
    <t xml:space="preserve">Fixed Assets : </t>
  </si>
  <si>
    <r>
      <t xml:space="preserve">Add : </t>
    </r>
    <r>
      <rPr>
        <sz val="11"/>
        <color theme="1"/>
        <rFont val="Aptos Narrow"/>
        <family val="2"/>
        <scheme val="minor"/>
      </rPr>
      <t xml:space="preserve">Net Profit </t>
    </r>
  </si>
  <si>
    <t xml:space="preserve">Computer </t>
  </si>
  <si>
    <r>
      <t xml:space="preserve">Less : </t>
    </r>
    <r>
      <rPr>
        <sz val="11"/>
        <color theme="1"/>
        <rFont val="Aptos Narrow"/>
        <family val="2"/>
        <scheme val="minor"/>
      </rPr>
      <t xml:space="preserve">Depreciation </t>
    </r>
  </si>
  <si>
    <r>
      <t xml:space="preserve">Less : </t>
    </r>
    <r>
      <rPr>
        <sz val="11"/>
        <color theme="1"/>
        <rFont val="Aptos Narrow"/>
        <family val="2"/>
        <scheme val="minor"/>
      </rPr>
      <t xml:space="preserve">Drawings </t>
    </r>
  </si>
  <si>
    <t xml:space="preserve">Machinery </t>
  </si>
  <si>
    <t xml:space="preserve">Current Liabilities </t>
  </si>
  <si>
    <r>
      <t>Less :</t>
    </r>
    <r>
      <rPr>
        <sz val="11"/>
        <color theme="1"/>
        <rFont val="Aptos Narrow"/>
        <family val="2"/>
        <scheme val="minor"/>
      </rPr>
      <t xml:space="preserve"> Depreciation </t>
    </r>
  </si>
  <si>
    <t xml:space="preserve">Outstanding Salary </t>
  </si>
  <si>
    <t xml:space="preserve">Furniture </t>
  </si>
  <si>
    <t>Accured Interest on Bank Loan</t>
  </si>
  <si>
    <t>Sundry Creditors :</t>
  </si>
  <si>
    <t xml:space="preserve">Buildings </t>
  </si>
  <si>
    <t xml:space="preserve">Royal Suppliers </t>
  </si>
  <si>
    <r>
      <t>Less :</t>
    </r>
    <r>
      <rPr>
        <sz val="11"/>
        <color theme="1"/>
        <rFont val="Aptos Narrow"/>
        <family val="2"/>
        <scheme val="minor"/>
      </rPr>
      <t xml:space="preserve"> Depreciation</t>
    </r>
    <r>
      <rPr>
        <b/>
        <sz val="11"/>
        <color theme="1"/>
        <rFont val="Aptos Narrow"/>
        <family val="2"/>
        <scheme val="minor"/>
      </rPr>
      <t xml:space="preserve"> </t>
    </r>
  </si>
  <si>
    <t xml:space="preserve">Metro Distributors </t>
  </si>
  <si>
    <t xml:space="preserve">Current Assets : </t>
  </si>
  <si>
    <t xml:space="preserve">Non Current Liabilities </t>
  </si>
  <si>
    <t xml:space="preserve">Cash in Hand </t>
  </si>
  <si>
    <t xml:space="preserve">Bank Loan </t>
  </si>
  <si>
    <t xml:space="preserve">Prepaid Insurance </t>
  </si>
  <si>
    <t xml:space="preserve">Closing Stock </t>
  </si>
  <si>
    <t>Sundry Debtors :</t>
  </si>
  <si>
    <t xml:space="preserve">Arjun Traders </t>
  </si>
  <si>
    <t xml:space="preserve">Meera Stores </t>
  </si>
  <si>
    <t xml:space="preserve">Ratio Analysis </t>
  </si>
  <si>
    <t xml:space="preserve">Interpretation </t>
  </si>
  <si>
    <t>1. Current Ratio</t>
  </si>
  <si>
    <t xml:space="preserve">Current Assets / Current Liabilities </t>
  </si>
  <si>
    <t>Ideal Ratio is  2:1</t>
  </si>
  <si>
    <t>Current Asset</t>
  </si>
  <si>
    <t xml:space="preserve">The Firm Has ₹ 1.88 of Current Assets for every ₹ 1 of Current Liabilities </t>
  </si>
  <si>
    <t>Current Liabilities</t>
  </si>
  <si>
    <t xml:space="preserve">This Indicates Excellent Short Term Solvency and a very strong ability to meet its current Obligations </t>
  </si>
  <si>
    <t>Slow Moving Inventory can falsely inflate liquidity</t>
  </si>
  <si>
    <t>2.Quick Ratio</t>
  </si>
  <si>
    <t xml:space="preserve">Quick Assets / Current Liabilities </t>
  </si>
  <si>
    <t>Ideal Ratio is 1: 1</t>
  </si>
  <si>
    <t xml:space="preserve">Quick assets </t>
  </si>
  <si>
    <t xml:space="preserve">The Firm has ₹1.65 of Quick assets for Every ₹1 of Current Liabilities </t>
  </si>
  <si>
    <t>This Indicates Excellent immediate Liquidity and a very strong ability to meet short term obligations</t>
  </si>
  <si>
    <t>Excluding all inventory undervalues liquid stock- heavy firms</t>
  </si>
  <si>
    <t xml:space="preserve">3. Cash Ratio </t>
  </si>
  <si>
    <t>(Cash + Cash Equivalents )/ Current Liabilities</t>
  </si>
  <si>
    <t>Ideal Ratio is 0.5 :1</t>
  </si>
  <si>
    <t xml:space="preserve">Cash +  Cash Equivalents </t>
  </si>
  <si>
    <t>The Firm has ₹1.10 of Cash and  cash equivalents for Every ₹ 1 of current Liabilities</t>
  </si>
  <si>
    <t>Comfortably meets all its short term obligations using only its cash and cash equivalents</t>
  </si>
  <si>
    <t xml:space="preserve">Excess idle Cash lowers overall company profitability </t>
  </si>
  <si>
    <t>4. Debt Equity Ratio</t>
  </si>
  <si>
    <t xml:space="preserve">Total Debt / Shareholders Equity </t>
  </si>
  <si>
    <t>Ideal Ratio is &lt;1.0</t>
  </si>
  <si>
    <t xml:space="preserve">Total Debt </t>
  </si>
  <si>
    <t xml:space="preserve">The Firm Has ₹ 0.9976 of total Debt For Every ₹ 1 of  Shareholders Equity . </t>
  </si>
  <si>
    <t>Shareholders Equity</t>
  </si>
  <si>
    <t xml:space="preserve">This indicates a very low level of financial leverage and a strong equity base </t>
  </si>
  <si>
    <t>Debt Equity Ratio</t>
  </si>
  <si>
    <t>Capital Structures very too wildly across industries</t>
  </si>
  <si>
    <t>5. Debt Asset Ratio</t>
  </si>
  <si>
    <t>Total Debt / Total Assets</t>
  </si>
  <si>
    <t>Ideal Ratio is &lt;50%</t>
  </si>
  <si>
    <t xml:space="preserve">The Firm Has ₹ 0.2584 of debt for every ₹1 of total asset </t>
  </si>
  <si>
    <t>Total Assets</t>
  </si>
  <si>
    <t>The Firm Finances 23.53% of its assets through debt</t>
  </si>
  <si>
    <t xml:space="preserve"> Debt Asset Ratio</t>
  </si>
  <si>
    <t>Indicates Strong Financial stability and a low level of financial risk</t>
  </si>
  <si>
    <t xml:space="preserve">6. Asset Turnover Ratio </t>
  </si>
  <si>
    <t xml:space="preserve">Net Sales / Total Assets </t>
  </si>
  <si>
    <t>Ideal ratio is &gt;2 times</t>
  </si>
  <si>
    <t xml:space="preserve">Net Sales </t>
  </si>
  <si>
    <t>The Firm generates ₹ 0.3403 of net sales for every ₹ 1 invested imn total assets</t>
  </si>
  <si>
    <t>If Ratio is very low → Poor Utilization of assets .</t>
  </si>
  <si>
    <t xml:space="preserve">Asset Turnover Ratio </t>
  </si>
  <si>
    <t xml:space="preserve">It Indicating that assets are very not being used efficiently to generate sales </t>
  </si>
  <si>
    <t>7. Inventory Turnover Ratio</t>
  </si>
  <si>
    <t xml:space="preserve">Cost of Goods sold / Average Inventory </t>
  </si>
  <si>
    <t xml:space="preserve">Ideal Ratio is 5- 10 times </t>
  </si>
  <si>
    <t>COGS</t>
  </si>
  <si>
    <t xml:space="preserve">The Inventory Turnover ratio is 3.5102 times, which is below the ideal range of 5-10 times </t>
  </si>
  <si>
    <t>Average Inventory</t>
  </si>
  <si>
    <t>This indicates that inventory is moving relatively slowly and the business can improve its inventory and sales</t>
  </si>
  <si>
    <t>Excessively high turnover causes frequent stockouts.</t>
  </si>
  <si>
    <t>8. Working Capital Turnover Ratio</t>
  </si>
  <si>
    <t>Net Sales / Working Capital</t>
  </si>
  <si>
    <t xml:space="preserve">Ideal Ratio is 2-4 </t>
  </si>
  <si>
    <t xml:space="preserve">The Working Capital Turnover Ratio of 1.6430 times is below the ideal range of 2-4 times </t>
  </si>
  <si>
    <t>Working Capital</t>
  </si>
  <si>
    <t>The Business is not working capital efficiently to generate sales</t>
  </si>
  <si>
    <t>Low working capital creates deceptive efficiency signs.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</si>
</sst>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"/>
  </numFmts>
  <fonts count="1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9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0" borderId="1" xfId="0" applyFont="1" applyBorder="1"/>
    <xf numFmtId="1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3" fontId="0" fillId="0" borderId="1" xfId="0" applyNumberFormat="1" applyBorder="1"/>
    <xf numFmtId="3" fontId="7" fillId="0" borderId="1" xfId="0" applyNumberFormat="1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3" fontId="2" fillId="0" borderId="0" xfId="0" applyNumberFormat="1" applyFont="1" applyAlignment="1">
      <alignment horizontal="center"/>
    </xf>
    <xf numFmtId="3" fontId="10" fillId="2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3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1" xfId="1" applyFont="1" applyBorder="1"/>
    <xf numFmtId="0" fontId="0" fillId="0" borderId="1" xfId="1" applyFont="1" applyBorder="1" applyAlignment="1">
      <alignment horizontal="left"/>
    </xf>
    <xf numFmtId="3" fontId="0" fillId="3" borderId="1" xfId="1" applyNumberFormat="1" applyFont="1" applyFill="1" applyBorder="1" applyAlignment="1">
      <alignment vertical="center" wrapText="1"/>
    </xf>
    <xf numFmtId="3" fontId="0" fillId="0" borderId="1" xfId="1" applyNumberFormat="1" applyFont="1" applyBorder="1"/>
    <xf numFmtId="3" fontId="2" fillId="0" borderId="1" xfId="1" applyNumberFormat="1" applyFont="1" applyBorder="1"/>
    <xf numFmtId="0" fontId="8" fillId="0" borderId="2" xfId="0" applyFont="1" applyBorder="1" applyAlignment="1">
      <alignment horizontal="center"/>
    </xf>
    <xf numFmtId="3" fontId="0" fillId="0" borderId="4" xfId="1" applyNumberFormat="1" applyFont="1" applyBorder="1"/>
    <xf numFmtId="3" fontId="0" fillId="3" borderId="4" xfId="1" applyNumberFormat="1" applyFont="1" applyFill="1" applyBorder="1" applyAlignment="1">
      <alignment vertical="center" wrapText="1"/>
    </xf>
    <xf numFmtId="3" fontId="2" fillId="0" borderId="4" xfId="1" applyNumberFormat="1" applyFont="1" applyBorder="1"/>
    <xf numFmtId="0" fontId="7" fillId="0" borderId="4" xfId="0" applyFont="1" applyBorder="1" applyAlignment="1">
      <alignment horizontal="center"/>
    </xf>
    <xf numFmtId="3" fontId="0" fillId="0" borderId="4" xfId="0" applyNumberFormat="1" applyBorder="1"/>
    <xf numFmtId="0" fontId="0" fillId="0" borderId="0" xfId="1" applyFont="1" applyBorder="1"/>
    <xf numFmtId="0" fontId="0" fillId="0" borderId="0" xfId="1" applyFont="1" applyBorder="1" applyAlignment="1">
      <alignment horizontal="left"/>
    </xf>
    <xf numFmtId="3" fontId="0" fillId="3" borderId="0" xfId="1" applyNumberFormat="1" applyFont="1" applyFill="1" applyBorder="1" applyAlignment="1">
      <alignment vertical="center" wrapText="1"/>
    </xf>
    <xf numFmtId="3" fontId="0" fillId="0" borderId="0" xfId="1" applyNumberFormat="1" applyFont="1" applyBorder="1"/>
    <xf numFmtId="0" fontId="0" fillId="0" borderId="0" xfId="0" applyBorder="1"/>
    <xf numFmtId="3" fontId="2" fillId="0" borderId="0" xfId="1" applyNumberFormat="1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3" fontId="0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1" fillId="0" borderId="1" xfId="0" applyFont="1" applyBorder="1"/>
    <xf numFmtId="3" fontId="2" fillId="0" borderId="1" xfId="0" applyNumberFormat="1" applyFont="1" applyBorder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0" xfId="0" applyFont="1" applyAlignment="1">
      <alignment horizontal="right"/>
    </xf>
    <xf numFmtId="3" fontId="0" fillId="0" borderId="5" xfId="0" applyNumberFormat="1" applyFont="1" applyBorder="1"/>
    <xf numFmtId="0" fontId="0" fillId="0" borderId="6" xfId="0" applyFont="1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3" fillId="0" borderId="0" xfId="0" applyFont="1" applyAlignment="1"/>
    <xf numFmtId="0" fontId="12" fillId="0" borderId="1" xfId="0" applyFont="1" applyBorder="1" applyAlignment="1">
      <alignment horizontal="center"/>
    </xf>
    <xf numFmtId="0" fontId="0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2" borderId="10" xfId="0" applyFont="1" applyFill="1" applyBorder="1"/>
    <xf numFmtId="0" fontId="2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3" fontId="0" fillId="2" borderId="9" xfId="0" applyNumberForma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0" fontId="0" fillId="2" borderId="6" xfId="0" applyFill="1" applyBorder="1"/>
    <xf numFmtId="0" fontId="2" fillId="2" borderId="7" xfId="0" applyFont="1" applyFill="1" applyBorder="1"/>
    <xf numFmtId="0" fontId="2" fillId="2" borderId="9" xfId="0" applyFont="1" applyFill="1" applyBorder="1"/>
    <xf numFmtId="3" fontId="0" fillId="2" borderId="0" xfId="0" applyNumberFormat="1" applyFill="1" applyAlignment="1">
      <alignment horizontal="center"/>
    </xf>
    <xf numFmtId="168" fontId="2" fillId="2" borderId="6" xfId="0" applyNumberFormat="1" applyFont="1" applyFill="1" applyBorder="1" applyAlignment="1">
      <alignment horizontal="center"/>
    </xf>
    <xf numFmtId="0" fontId="0" fillId="2" borderId="3" xfId="0" applyFill="1" applyBorder="1"/>
    <xf numFmtId="0" fontId="3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opLeftCell="A19" zoomScale="79" zoomScaleNormal="115" workbookViewId="0">
      <selection activeCell="C31" sqref="C31:C34"/>
    </sheetView>
  </sheetViews>
  <sheetFormatPr defaultRowHeight="14"/>
  <cols>
    <col min="1" max="1" width="60.6640625" customWidth="1"/>
    <col min="2" max="2" width="87" customWidth="1"/>
    <col min="3" max="3" width="13.08203125" customWidth="1"/>
  </cols>
  <sheetData>
    <row r="1" spans="1:3" ht="15.5">
      <c r="A1" s="36" t="s">
        <v>0</v>
      </c>
      <c r="B1" s="36"/>
      <c r="C1" s="36"/>
    </row>
    <row r="2" spans="1:3" ht="14.5">
      <c r="A2" s="13"/>
      <c r="B2" s="13"/>
      <c r="C2" s="13"/>
    </row>
    <row r="3" spans="1:3" ht="15.5">
      <c r="A3" s="37" t="s">
        <v>1</v>
      </c>
      <c r="B3" s="37"/>
      <c r="C3" s="13"/>
    </row>
    <row r="4" spans="1:3" ht="15.5">
      <c r="A4" s="33" t="s">
        <v>2</v>
      </c>
      <c r="B4" s="33"/>
      <c r="C4" s="13"/>
    </row>
    <row r="5" spans="1:3" ht="15.5">
      <c r="A5" s="33" t="s">
        <v>3</v>
      </c>
      <c r="B5" s="33"/>
      <c r="C5" s="13"/>
    </row>
    <row r="6" spans="1:3" ht="15.5">
      <c r="A6" s="33" t="s">
        <v>4</v>
      </c>
      <c r="B6" s="33"/>
      <c r="C6" s="13"/>
    </row>
    <row r="7" spans="1:3" ht="15.5">
      <c r="A7" s="33" t="s">
        <v>5</v>
      </c>
      <c r="B7" s="33"/>
      <c r="C7" s="13"/>
    </row>
    <row r="8" spans="1:3" ht="15.5">
      <c r="A8" s="33" t="s">
        <v>6</v>
      </c>
      <c r="B8" s="33"/>
      <c r="C8" s="13"/>
    </row>
    <row r="9" spans="1:3" ht="15.5">
      <c r="A9" s="33" t="s">
        <v>7</v>
      </c>
      <c r="B9" s="33"/>
      <c r="C9" s="13"/>
    </row>
    <row r="10" spans="1:3" ht="14.5">
      <c r="A10" s="13"/>
      <c r="B10" s="13"/>
      <c r="C10" s="13"/>
    </row>
    <row r="11" spans="1:3" ht="15.5">
      <c r="A11" s="37" t="s">
        <v>8</v>
      </c>
      <c r="B11" s="37"/>
      <c r="C11" s="37"/>
    </row>
    <row r="12" spans="1:3" ht="15.5">
      <c r="A12" s="33" t="s">
        <v>9</v>
      </c>
      <c r="B12" s="33"/>
      <c r="C12" s="13"/>
    </row>
    <row r="13" spans="1:3" ht="15.5">
      <c r="A13" s="33" t="s">
        <v>10</v>
      </c>
      <c r="B13" s="33"/>
      <c r="C13" s="13"/>
    </row>
    <row r="14" spans="1:3" ht="31.25" customHeight="1">
      <c r="A14" s="33" t="s">
        <v>11</v>
      </c>
      <c r="B14" s="33"/>
      <c r="C14" s="13"/>
    </row>
    <row r="15" spans="1:3" ht="31.25" customHeight="1">
      <c r="A15" s="33" t="s">
        <v>12</v>
      </c>
      <c r="B15" s="33"/>
      <c r="C15" s="13"/>
    </row>
    <row r="16" spans="1:3" ht="31.25" customHeight="1">
      <c r="A16" s="33" t="s">
        <v>13</v>
      </c>
      <c r="B16" s="33"/>
      <c r="C16" s="13"/>
    </row>
    <row r="17" spans="1:3" ht="31.25" customHeight="1">
      <c r="A17" s="33" t="s">
        <v>14</v>
      </c>
      <c r="B17" s="33"/>
      <c r="C17" s="13"/>
    </row>
    <row r="18" spans="1:3" ht="31.25" customHeight="1">
      <c r="A18" s="33" t="s">
        <v>15</v>
      </c>
      <c r="B18" s="33"/>
      <c r="C18" s="13"/>
    </row>
    <row r="19" spans="1:3" ht="15.5">
      <c r="A19" s="33" t="s">
        <v>16</v>
      </c>
      <c r="B19" s="33"/>
      <c r="C19" s="13"/>
    </row>
    <row r="20" spans="1:3" ht="14.5">
      <c r="A20" s="13"/>
      <c r="B20" s="13"/>
      <c r="C20" s="13"/>
    </row>
    <row r="21" spans="1:3" ht="31.25" customHeight="1">
      <c r="A21" s="33" t="s">
        <v>17</v>
      </c>
      <c r="B21" s="33"/>
      <c r="C21" s="33"/>
    </row>
    <row r="22" spans="1:3" ht="15.5">
      <c r="A22" s="34" t="s">
        <v>18</v>
      </c>
      <c r="B22" s="34"/>
      <c r="C22" s="14" t="s">
        <v>19</v>
      </c>
    </row>
    <row r="23" spans="1:3" ht="15.5">
      <c r="A23" s="32" t="s">
        <v>20</v>
      </c>
      <c r="B23" s="32"/>
      <c r="C23" s="15">
        <v>55000</v>
      </c>
    </row>
    <row r="24" spans="1:3" ht="15.5">
      <c r="A24" s="32" t="s">
        <v>21</v>
      </c>
      <c r="B24" s="32"/>
      <c r="C24" s="15">
        <v>150000</v>
      </c>
    </row>
    <row r="25" spans="1:3" ht="15.5">
      <c r="A25" s="32" t="s">
        <v>22</v>
      </c>
      <c r="B25" s="32"/>
      <c r="C25" s="15">
        <v>120000</v>
      </c>
    </row>
    <row r="26" spans="1:3" ht="15.5">
      <c r="A26" s="32" t="s">
        <v>23</v>
      </c>
      <c r="B26" s="32"/>
      <c r="C26" s="15">
        <v>80000</v>
      </c>
    </row>
    <row r="27" spans="1:3" ht="15.5">
      <c r="A27" s="32" t="s">
        <v>24</v>
      </c>
      <c r="B27" s="32"/>
      <c r="C27" s="15">
        <v>250000</v>
      </c>
    </row>
    <row r="28" spans="1:3" ht="15.5">
      <c r="A28" s="32" t="s">
        <v>25</v>
      </c>
      <c r="B28" s="32"/>
      <c r="C28" s="15">
        <v>400000</v>
      </c>
    </row>
    <row r="29" spans="1:3" ht="31.25" customHeight="1">
      <c r="A29" s="32" t="s">
        <v>26</v>
      </c>
      <c r="B29" s="32"/>
      <c r="C29" s="15">
        <v>85000</v>
      </c>
    </row>
    <row r="30" spans="1:3" ht="31.25" customHeight="1">
      <c r="A30" s="32" t="s">
        <v>27</v>
      </c>
      <c r="B30" s="32"/>
      <c r="C30" s="15">
        <v>60000</v>
      </c>
    </row>
    <row r="31" spans="1:3" ht="31.25" customHeight="1">
      <c r="A31" s="32" t="s">
        <v>28</v>
      </c>
      <c r="B31" s="32"/>
      <c r="C31" s="15">
        <v>90000</v>
      </c>
    </row>
    <row r="32" spans="1:3" ht="31.25" customHeight="1">
      <c r="A32" s="32" t="s">
        <v>29</v>
      </c>
      <c r="B32" s="32"/>
      <c r="C32" s="15">
        <v>55000</v>
      </c>
    </row>
    <row r="33" spans="1:3" ht="15.5">
      <c r="A33" s="32"/>
      <c r="B33" s="32"/>
      <c r="C33" s="15"/>
    </row>
    <row r="34" spans="1:3" ht="15.5">
      <c r="A34" s="32" t="s">
        <v>30</v>
      </c>
      <c r="B34" s="32"/>
      <c r="C34" s="15">
        <v>150000</v>
      </c>
    </row>
    <row r="35" spans="1:3" ht="14.5">
      <c r="A35" s="13"/>
      <c r="B35" s="13"/>
      <c r="C35" s="16"/>
    </row>
    <row r="36" spans="1:3" ht="14.5">
      <c r="A36" s="13"/>
      <c r="B36" s="13"/>
      <c r="C36" s="17"/>
    </row>
    <row r="37" spans="1:3" ht="15.5">
      <c r="A37" s="35" t="s">
        <v>31</v>
      </c>
      <c r="B37" s="35"/>
      <c r="C37" s="17"/>
    </row>
    <row r="38" spans="1:3" ht="15.5">
      <c r="A38" s="14" t="s">
        <v>32</v>
      </c>
      <c r="B38" s="14" t="s">
        <v>33</v>
      </c>
      <c r="C38" s="17"/>
    </row>
    <row r="39" spans="1:3" ht="15.5">
      <c r="A39" s="18">
        <v>46114</v>
      </c>
      <c r="B39" s="7" t="s">
        <v>34</v>
      </c>
      <c r="C39" s="17"/>
    </row>
    <row r="40" spans="1:3" ht="15.5">
      <c r="A40" s="18">
        <v>46115</v>
      </c>
      <c r="B40" s="7" t="s">
        <v>35</v>
      </c>
      <c r="C40" s="17"/>
    </row>
    <row r="41" spans="1:3" ht="15.5">
      <c r="A41" s="18">
        <v>46116</v>
      </c>
      <c r="B41" s="19" t="s">
        <v>36</v>
      </c>
      <c r="C41" s="17"/>
    </row>
    <row r="42" spans="1:3" ht="15.5">
      <c r="A42" s="18">
        <v>46117</v>
      </c>
      <c r="B42" s="19" t="s">
        <v>37</v>
      </c>
      <c r="C42" s="17"/>
    </row>
    <row r="43" spans="1:3" ht="15.5">
      <c r="A43" s="18">
        <v>46118</v>
      </c>
      <c r="B43" s="19" t="s">
        <v>38</v>
      </c>
      <c r="C43" s="20"/>
    </row>
    <row r="44" spans="1:3" ht="15.5">
      <c r="A44" s="18">
        <v>46119</v>
      </c>
      <c r="B44" s="19" t="s">
        <v>39</v>
      </c>
      <c r="C44" s="17"/>
    </row>
    <row r="45" spans="1:3" ht="15.5">
      <c r="A45" s="18">
        <v>46120</v>
      </c>
      <c r="B45" s="19" t="s">
        <v>40</v>
      </c>
      <c r="C45" s="17"/>
    </row>
    <row r="46" spans="1:3" ht="15.5">
      <c r="A46" s="18">
        <v>46121</v>
      </c>
      <c r="B46" s="19" t="s">
        <v>41</v>
      </c>
      <c r="C46" s="17"/>
    </row>
    <row r="47" spans="1:3" ht="15.5">
      <c r="A47" s="18">
        <v>46122</v>
      </c>
      <c r="B47" s="19" t="s">
        <v>42</v>
      </c>
      <c r="C47" s="17"/>
    </row>
    <row r="48" spans="1:3" ht="15.5">
      <c r="A48" s="18">
        <v>46123</v>
      </c>
      <c r="B48" s="19" t="s">
        <v>43</v>
      </c>
      <c r="C48" s="17"/>
    </row>
    <row r="49" spans="1:3" ht="15.5">
      <c r="A49" s="18">
        <v>46124</v>
      </c>
      <c r="B49" s="19" t="s">
        <v>44</v>
      </c>
      <c r="C49" s="17"/>
    </row>
    <row r="50" spans="1:3" ht="15.5">
      <c r="A50" s="18">
        <v>46125</v>
      </c>
      <c r="B50" s="19" t="s">
        <v>45</v>
      </c>
      <c r="C50" s="17"/>
    </row>
    <row r="51" spans="1:3" ht="15.5">
      <c r="A51" s="18">
        <v>46126</v>
      </c>
      <c r="B51" s="19" t="s">
        <v>46</v>
      </c>
      <c r="C51" s="17"/>
    </row>
    <row r="52" spans="1:3" ht="15.5">
      <c r="A52" s="18">
        <v>46127</v>
      </c>
      <c r="B52" s="19" t="s">
        <v>47</v>
      </c>
      <c r="C52" s="17"/>
    </row>
    <row r="53" spans="1:3" ht="15.5">
      <c r="A53" s="18">
        <v>46128</v>
      </c>
      <c r="B53" s="19" t="s">
        <v>48</v>
      </c>
      <c r="C53" s="17"/>
    </row>
    <row r="54" spans="1:3" ht="15.5">
      <c r="A54" s="18">
        <v>46129</v>
      </c>
      <c r="B54" s="19" t="s">
        <v>49</v>
      </c>
      <c r="C54" s="17"/>
    </row>
    <row r="55" spans="1:3" ht="15.5">
      <c r="A55" s="18">
        <v>46130</v>
      </c>
      <c r="B55" s="19" t="s">
        <v>50</v>
      </c>
      <c r="C55" s="17"/>
    </row>
    <row r="56" spans="1:3" ht="15.5">
      <c r="A56" s="18">
        <v>46131</v>
      </c>
      <c r="B56" s="19" t="s">
        <v>51</v>
      </c>
      <c r="C56" s="17"/>
    </row>
    <row r="57" spans="1:3" ht="15.5">
      <c r="A57" s="18">
        <v>46132</v>
      </c>
      <c r="B57" s="19" t="s">
        <v>52</v>
      </c>
      <c r="C57" s="17"/>
    </row>
    <row r="58" spans="1:3" ht="15.5">
      <c r="A58" s="18">
        <v>46133</v>
      </c>
      <c r="B58" s="19" t="s">
        <v>53</v>
      </c>
      <c r="C58" s="17"/>
    </row>
    <row r="59" spans="1:3" ht="15.5">
      <c r="A59" s="18">
        <v>46134</v>
      </c>
      <c r="B59" s="19" t="s">
        <v>54</v>
      </c>
      <c r="C59" s="17"/>
    </row>
    <row r="60" spans="1:3" ht="15.5">
      <c r="A60" s="18">
        <v>46135</v>
      </c>
      <c r="B60" s="19" t="s">
        <v>55</v>
      </c>
      <c r="C60" s="17"/>
    </row>
    <row r="61" spans="1:3" ht="15.5">
      <c r="A61" s="18">
        <v>46136</v>
      </c>
      <c r="B61" s="19" t="s">
        <v>56</v>
      </c>
      <c r="C61" s="17"/>
    </row>
    <row r="62" spans="1:3" ht="15.5">
      <c r="A62" s="18">
        <v>46137</v>
      </c>
      <c r="B62" s="19" t="s">
        <v>57</v>
      </c>
      <c r="C62" s="17"/>
    </row>
    <row r="63" spans="1:3" ht="15.5">
      <c r="A63" s="18">
        <v>46138</v>
      </c>
      <c r="B63" s="19" t="s">
        <v>58</v>
      </c>
      <c r="C63" s="17"/>
    </row>
    <row r="64" spans="1:3" ht="15.5">
      <c r="A64" s="18">
        <v>46139</v>
      </c>
      <c r="B64" s="19" t="s">
        <v>59</v>
      </c>
      <c r="C64" s="17"/>
    </row>
    <row r="65" spans="1:3" ht="15.5">
      <c r="A65" s="18">
        <v>46140</v>
      </c>
      <c r="B65" s="19" t="s">
        <v>60</v>
      </c>
      <c r="C65" s="17"/>
    </row>
    <row r="66" spans="1:3" ht="15.5">
      <c r="A66" s="18">
        <v>46141</v>
      </c>
      <c r="B66" s="19" t="s">
        <v>61</v>
      </c>
      <c r="C66" s="17"/>
    </row>
    <row r="67" spans="1:3" ht="15.5">
      <c r="A67" s="18">
        <v>46142</v>
      </c>
      <c r="B67" s="19" t="s">
        <v>62</v>
      </c>
      <c r="C67" s="17"/>
    </row>
    <row r="68" spans="1:3" ht="15.5">
      <c r="A68" s="21" t="s">
        <v>63</v>
      </c>
      <c r="B68" s="16"/>
      <c r="C68" s="17"/>
    </row>
    <row r="69" spans="1:3" ht="14.5">
      <c r="A69" s="7"/>
      <c r="B69" s="16"/>
      <c r="C69" s="17"/>
    </row>
    <row r="70" spans="1:3" ht="15.5">
      <c r="A70" s="22" t="s">
        <v>64</v>
      </c>
      <c r="B70" s="16"/>
      <c r="C70" s="17"/>
    </row>
    <row r="71" spans="1:3" ht="15.5">
      <c r="A71" s="22" t="s">
        <v>65</v>
      </c>
      <c r="B71" s="16"/>
      <c r="C71" s="17"/>
    </row>
    <row r="72" spans="1:3" ht="15.5">
      <c r="A72" s="22" t="s">
        <v>66</v>
      </c>
      <c r="B72" s="16"/>
      <c r="C72" s="17"/>
    </row>
    <row r="73" spans="1:3" ht="15.5">
      <c r="A73" s="22" t="s">
        <v>67</v>
      </c>
      <c r="B73" s="16"/>
      <c r="C73" s="17"/>
    </row>
    <row r="74" spans="1:3" ht="15.5">
      <c r="A74" s="22" t="s">
        <v>68</v>
      </c>
      <c r="B74" s="16"/>
      <c r="C74" s="17"/>
    </row>
    <row r="75" spans="1:3" ht="15.5">
      <c r="A75" s="22" t="s">
        <v>69</v>
      </c>
      <c r="B75" s="16"/>
      <c r="C75" s="17"/>
    </row>
    <row r="76" spans="1:3" ht="15.5">
      <c r="A76" s="22" t="s">
        <v>70</v>
      </c>
      <c r="B76" s="16"/>
      <c r="C76" s="17"/>
    </row>
    <row r="77" spans="1:3" ht="15.5">
      <c r="A77" s="22" t="s">
        <v>71</v>
      </c>
      <c r="B77" s="16"/>
      <c r="C77" s="17"/>
    </row>
    <row r="78" spans="1:3" ht="14.5">
      <c r="A78" s="16"/>
      <c r="B78" s="16"/>
      <c r="C78" s="17"/>
    </row>
    <row r="79" spans="1:3">
      <c r="A79" s="11"/>
      <c r="B79" s="11"/>
      <c r="C79" s="3"/>
    </row>
  </sheetData>
  <mergeCells count="32">
    <mergeCell ref="A37:B37"/>
    <mergeCell ref="A14:B14"/>
    <mergeCell ref="A1:C1"/>
    <mergeCell ref="A3:B3"/>
    <mergeCell ref="A4:B4"/>
    <mergeCell ref="A5:B5"/>
    <mergeCell ref="A6:B6"/>
    <mergeCell ref="A7:B7"/>
    <mergeCell ref="A8:B8"/>
    <mergeCell ref="A9:B9"/>
    <mergeCell ref="A11:C11"/>
    <mergeCell ref="A12:B12"/>
    <mergeCell ref="A13:B13"/>
    <mergeCell ref="A27:B27"/>
    <mergeCell ref="A15:B15"/>
    <mergeCell ref="A16:B16"/>
    <mergeCell ref="A17:B17"/>
    <mergeCell ref="A18:B18"/>
    <mergeCell ref="A19:B19"/>
    <mergeCell ref="A21:C21"/>
    <mergeCell ref="A22:B22"/>
    <mergeCell ref="A23:B23"/>
    <mergeCell ref="A24:B24"/>
    <mergeCell ref="A25:B25"/>
    <mergeCell ref="A26:B26"/>
    <mergeCell ref="A34:B34"/>
    <mergeCell ref="A28:B28"/>
    <mergeCell ref="A29:B29"/>
    <mergeCell ref="A30:B30"/>
    <mergeCell ref="A31:B31"/>
    <mergeCell ref="A32:B32"/>
    <mergeCell ref="A33:B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workbookViewId="0">
      <selection activeCell="F9" sqref="F9"/>
    </sheetView>
  </sheetViews>
  <sheetFormatPr defaultRowHeight="14"/>
  <cols>
    <col min="1" max="1" width="14.4140625" style="2" customWidth="1"/>
    <col min="2" max="2" width="39" customWidth="1"/>
    <col min="3" max="3" width="11.6640625" style="1" customWidth="1"/>
    <col min="4" max="4" width="10.58203125" customWidth="1"/>
    <col min="5" max="5" width="19.08203125" style="2" customWidth="1"/>
    <col min="6" max="6" width="19" style="2" customWidth="1"/>
    <col min="7" max="7" width="16.08203125" customWidth="1"/>
    <col min="8" max="8" width="67.6640625" bestFit="1" customWidth="1"/>
  </cols>
  <sheetData>
    <row r="1" spans="1:7" ht="18">
      <c r="A1" s="38" t="s">
        <v>72</v>
      </c>
      <c r="B1" s="38"/>
      <c r="C1" s="38"/>
      <c r="D1" s="38"/>
      <c r="E1" s="38"/>
      <c r="F1" s="38"/>
    </row>
    <row r="2" spans="1:7">
      <c r="A2" s="8"/>
      <c r="B2" s="6"/>
      <c r="C2" s="9"/>
      <c r="D2" s="6"/>
      <c r="E2" s="8"/>
      <c r="F2" s="8"/>
    </row>
    <row r="3" spans="1:7" s="1" customFormat="1">
      <c r="A3" s="10" t="s">
        <v>32</v>
      </c>
      <c r="B3" s="10" t="s">
        <v>18</v>
      </c>
      <c r="C3" s="10"/>
      <c r="D3" s="10" t="s">
        <v>73</v>
      </c>
      <c r="E3" s="10" t="s">
        <v>74</v>
      </c>
      <c r="F3" s="10" t="s">
        <v>75</v>
      </c>
    </row>
    <row r="4" spans="1:7" s="1" customFormat="1" ht="15.5">
      <c r="A4" s="27" t="s">
        <v>200</v>
      </c>
      <c r="B4" s="28" t="s">
        <v>220</v>
      </c>
      <c r="C4" s="10" t="s">
        <v>80</v>
      </c>
      <c r="D4" s="10"/>
      <c r="E4" s="15">
        <v>55000</v>
      </c>
      <c r="F4" s="10"/>
    </row>
    <row r="5" spans="1:7" s="1" customFormat="1" ht="15.5">
      <c r="A5" s="27" t="s">
        <v>200</v>
      </c>
      <c r="B5" s="28" t="s">
        <v>221</v>
      </c>
      <c r="C5" s="10" t="s">
        <v>80</v>
      </c>
      <c r="D5" s="10"/>
      <c r="E5" s="15">
        <v>150000</v>
      </c>
      <c r="F5" s="10"/>
    </row>
    <row r="6" spans="1:7" s="1" customFormat="1" ht="15.5">
      <c r="A6" s="27" t="s">
        <v>200</v>
      </c>
      <c r="B6" s="28" t="s">
        <v>222</v>
      </c>
      <c r="C6" s="10" t="s">
        <v>80</v>
      </c>
      <c r="D6" s="10"/>
      <c r="E6" s="15">
        <v>120000</v>
      </c>
      <c r="F6" s="10"/>
    </row>
    <row r="7" spans="1:7" s="1" customFormat="1" ht="15.5">
      <c r="A7" s="27" t="s">
        <v>200</v>
      </c>
      <c r="B7" s="28" t="s">
        <v>223</v>
      </c>
      <c r="C7" s="10" t="s">
        <v>80</v>
      </c>
      <c r="D7" s="10"/>
      <c r="E7" s="15">
        <v>80000</v>
      </c>
      <c r="F7" s="10"/>
    </row>
    <row r="8" spans="1:7" s="1" customFormat="1" ht="15.5">
      <c r="A8" s="27" t="s">
        <v>200</v>
      </c>
      <c r="B8" s="28" t="s">
        <v>224</v>
      </c>
      <c r="C8" s="10" t="s">
        <v>80</v>
      </c>
      <c r="D8" s="10"/>
      <c r="E8" s="15">
        <v>250000</v>
      </c>
      <c r="F8" s="10"/>
      <c r="G8" s="29"/>
    </row>
    <row r="9" spans="1:7" s="1" customFormat="1" ht="15.5">
      <c r="A9" s="27" t="s">
        <v>200</v>
      </c>
      <c r="B9" s="28" t="s">
        <v>225</v>
      </c>
      <c r="C9" s="10" t="s">
        <v>80</v>
      </c>
      <c r="D9" s="10"/>
      <c r="E9" s="15">
        <v>400000</v>
      </c>
      <c r="F9" s="10"/>
      <c r="G9" s="29"/>
    </row>
    <row r="10" spans="1:7" s="1" customFormat="1" ht="15.5">
      <c r="A10" s="27" t="s">
        <v>200</v>
      </c>
      <c r="B10" s="28" t="s">
        <v>226</v>
      </c>
      <c r="C10" s="10" t="s">
        <v>80</v>
      </c>
      <c r="D10" s="10"/>
      <c r="E10" s="15">
        <v>85000</v>
      </c>
      <c r="F10" s="10"/>
      <c r="G10" s="29"/>
    </row>
    <row r="11" spans="1:7" s="1" customFormat="1" ht="15.5">
      <c r="A11" s="27" t="s">
        <v>200</v>
      </c>
      <c r="B11" s="28" t="s">
        <v>227</v>
      </c>
      <c r="C11" s="10" t="s">
        <v>80</v>
      </c>
      <c r="D11" s="10"/>
      <c r="E11" s="15">
        <v>60000</v>
      </c>
      <c r="F11" s="10"/>
    </row>
    <row r="12" spans="1:7" s="1" customFormat="1">
      <c r="A12" s="27"/>
      <c r="B12" s="28" t="s">
        <v>228</v>
      </c>
      <c r="C12" s="10"/>
      <c r="D12" s="10"/>
      <c r="E12" s="10"/>
      <c r="F12" s="30">
        <v>905000</v>
      </c>
    </row>
    <row r="13" spans="1:7" s="1" customFormat="1" ht="15.5">
      <c r="A13" s="27"/>
      <c r="B13" s="28" t="s">
        <v>229</v>
      </c>
      <c r="C13" s="10"/>
      <c r="D13" s="10"/>
      <c r="E13" s="10"/>
      <c r="F13" s="15">
        <v>90000</v>
      </c>
    </row>
    <row r="14" spans="1:7" s="1" customFormat="1" ht="15.5">
      <c r="A14" s="27"/>
      <c r="B14" s="28" t="s">
        <v>231</v>
      </c>
      <c r="C14" s="10"/>
      <c r="D14" s="10"/>
      <c r="E14" s="10"/>
      <c r="F14" s="15">
        <v>55000</v>
      </c>
    </row>
    <row r="15" spans="1:7" s="1" customFormat="1" ht="15.5">
      <c r="A15" s="27"/>
      <c r="B15" s="28" t="s">
        <v>230</v>
      </c>
      <c r="C15" s="10"/>
      <c r="D15" s="10"/>
      <c r="E15" s="10"/>
      <c r="F15" s="15">
        <v>150000</v>
      </c>
    </row>
    <row r="16" spans="1:7" s="1" customFormat="1">
      <c r="A16" s="27"/>
      <c r="B16" s="28" t="s">
        <v>232</v>
      </c>
      <c r="C16" s="10"/>
      <c r="D16" s="10"/>
      <c r="E16" s="10"/>
      <c r="F16" s="4"/>
    </row>
    <row r="17" spans="1:6">
      <c r="A17" s="5" t="s">
        <v>76</v>
      </c>
      <c r="B17" s="11" t="s">
        <v>77</v>
      </c>
      <c r="C17" s="10" t="s">
        <v>80</v>
      </c>
      <c r="D17" s="11"/>
      <c r="E17" s="12">
        <v>140000</v>
      </c>
      <c r="F17" s="5"/>
    </row>
    <row r="18" spans="1:6">
      <c r="A18" s="5"/>
      <c r="B18" s="11" t="s">
        <v>78</v>
      </c>
      <c r="C18" s="10"/>
      <c r="D18" s="11"/>
      <c r="E18" s="5"/>
      <c r="F18" s="12">
        <v>140000</v>
      </c>
    </row>
    <row r="19" spans="1:6">
      <c r="A19" s="5"/>
      <c r="B19" s="11" t="s">
        <v>79</v>
      </c>
      <c r="C19" s="10"/>
      <c r="D19" s="11"/>
      <c r="E19" s="5"/>
      <c r="F19" s="5"/>
    </row>
    <row r="20" spans="1:6">
      <c r="A20" s="5" t="s">
        <v>81</v>
      </c>
      <c r="B20" s="11" t="s">
        <v>77</v>
      </c>
      <c r="C20" s="10" t="s">
        <v>80</v>
      </c>
      <c r="D20" s="11"/>
      <c r="E20" s="12">
        <v>50000</v>
      </c>
      <c r="F20" s="5"/>
    </row>
    <row r="21" spans="1:6">
      <c r="A21" s="5"/>
      <c r="B21" s="11" t="s">
        <v>82</v>
      </c>
      <c r="C21" s="10"/>
      <c r="D21" s="11"/>
      <c r="E21" s="5"/>
      <c r="F21" s="12">
        <v>50000</v>
      </c>
    </row>
    <row r="22" spans="1:6">
      <c r="A22" s="5"/>
      <c r="B22" s="11" t="s">
        <v>79</v>
      </c>
      <c r="C22" s="10"/>
      <c r="D22" s="11"/>
      <c r="E22" s="5"/>
      <c r="F22" s="5"/>
    </row>
    <row r="23" spans="1:6">
      <c r="A23" s="5" t="s">
        <v>83</v>
      </c>
      <c r="B23" s="11" t="s">
        <v>84</v>
      </c>
      <c r="C23" s="10" t="s">
        <v>87</v>
      </c>
      <c r="D23" s="11"/>
      <c r="E23" s="12">
        <v>210000</v>
      </c>
      <c r="F23" s="5"/>
    </row>
    <row r="24" spans="1:6">
      <c r="A24" s="5"/>
      <c r="B24" s="11" t="s">
        <v>85</v>
      </c>
      <c r="C24" s="10"/>
      <c r="D24" s="11"/>
      <c r="E24" s="5"/>
      <c r="F24" s="12">
        <v>210000</v>
      </c>
    </row>
    <row r="25" spans="1:6">
      <c r="A25" s="5"/>
      <c r="B25" s="11" t="s">
        <v>86</v>
      </c>
      <c r="C25" s="10"/>
      <c r="D25" s="11"/>
      <c r="E25" s="5"/>
      <c r="F25" s="5"/>
    </row>
    <row r="26" spans="1:6">
      <c r="A26" s="5" t="s">
        <v>88</v>
      </c>
      <c r="B26" s="11" t="s">
        <v>89</v>
      </c>
      <c r="C26" s="10" t="s">
        <v>80</v>
      </c>
      <c r="D26" s="11"/>
      <c r="E26" s="12">
        <v>90000</v>
      </c>
      <c r="F26" s="5"/>
    </row>
    <row r="27" spans="1:6">
      <c r="A27" s="5"/>
      <c r="B27" s="11" t="s">
        <v>85</v>
      </c>
      <c r="C27" s="10"/>
      <c r="D27" s="11"/>
      <c r="E27" s="5"/>
      <c r="F27" s="12">
        <v>90000</v>
      </c>
    </row>
    <row r="28" spans="1:6">
      <c r="A28" s="5"/>
      <c r="B28" s="11" t="s">
        <v>90</v>
      </c>
      <c r="C28" s="10"/>
      <c r="D28" s="11"/>
      <c r="E28" s="5"/>
      <c r="F28" s="5"/>
    </row>
    <row r="29" spans="1:6">
      <c r="A29" s="5" t="s">
        <v>91</v>
      </c>
      <c r="B29" s="11" t="s">
        <v>92</v>
      </c>
      <c r="C29" s="10" t="s">
        <v>80</v>
      </c>
      <c r="D29" s="11"/>
      <c r="E29" s="12">
        <v>6000</v>
      </c>
      <c r="F29" s="5"/>
    </row>
    <row r="30" spans="1:6">
      <c r="A30" s="5"/>
      <c r="B30" s="11" t="s">
        <v>82</v>
      </c>
      <c r="C30" s="10"/>
      <c r="D30" s="11"/>
      <c r="E30" s="5"/>
      <c r="F30" s="12">
        <v>6000</v>
      </c>
    </row>
    <row r="31" spans="1:6">
      <c r="A31" s="5"/>
      <c r="B31" s="11" t="s">
        <v>93</v>
      </c>
      <c r="C31" s="10"/>
      <c r="D31" s="11"/>
      <c r="E31" s="5"/>
      <c r="F31" s="5"/>
    </row>
    <row r="32" spans="1:6">
      <c r="A32" s="5" t="s">
        <v>94</v>
      </c>
      <c r="B32" s="11" t="s">
        <v>95</v>
      </c>
      <c r="C32" s="10" t="s">
        <v>87</v>
      </c>
      <c r="D32" s="11"/>
      <c r="E32" s="12">
        <v>18000</v>
      </c>
      <c r="F32" s="5"/>
    </row>
    <row r="33" spans="1:6">
      <c r="A33" s="5"/>
      <c r="B33" s="11" t="s">
        <v>82</v>
      </c>
      <c r="C33" s="10"/>
      <c r="D33" s="11"/>
      <c r="E33" s="5"/>
      <c r="F33" s="12">
        <v>18000</v>
      </c>
    </row>
    <row r="34" spans="1:6">
      <c r="A34" s="5"/>
      <c r="B34" s="11" t="s">
        <v>93</v>
      </c>
      <c r="C34" s="10"/>
      <c r="D34" s="11"/>
      <c r="E34" s="5"/>
      <c r="F34" s="5"/>
    </row>
    <row r="35" spans="1:6">
      <c r="A35" s="5" t="s">
        <v>96</v>
      </c>
      <c r="B35" s="11" t="s">
        <v>97</v>
      </c>
      <c r="C35" s="10" t="s">
        <v>80</v>
      </c>
      <c r="D35" s="11"/>
      <c r="E35" s="12">
        <v>15000</v>
      </c>
      <c r="F35" s="5"/>
    </row>
    <row r="36" spans="1:6">
      <c r="A36" s="5"/>
      <c r="B36" s="11" t="s">
        <v>98</v>
      </c>
      <c r="C36" s="10"/>
      <c r="D36" s="11"/>
      <c r="E36" s="5"/>
      <c r="F36" s="12">
        <v>15000</v>
      </c>
    </row>
    <row r="37" spans="1:6">
      <c r="A37" s="5"/>
      <c r="B37" s="11" t="s">
        <v>99</v>
      </c>
      <c r="C37" s="10"/>
      <c r="D37" s="11"/>
      <c r="E37" s="5"/>
      <c r="F37" s="5"/>
    </row>
    <row r="38" spans="1:6">
      <c r="A38" s="5" t="s">
        <v>100</v>
      </c>
      <c r="B38" s="11" t="s">
        <v>101</v>
      </c>
      <c r="C38" s="10" t="s">
        <v>80</v>
      </c>
      <c r="D38" s="11"/>
      <c r="E38" s="12">
        <v>12000</v>
      </c>
      <c r="F38" s="5"/>
    </row>
    <row r="39" spans="1:6">
      <c r="A39" s="5"/>
      <c r="B39" s="11" t="s">
        <v>102</v>
      </c>
      <c r="C39" s="10"/>
      <c r="D39" s="11"/>
      <c r="E39" s="5"/>
      <c r="F39" s="12">
        <v>12000</v>
      </c>
    </row>
    <row r="40" spans="1:6">
      <c r="A40" s="5"/>
      <c r="B40" s="11" t="s">
        <v>99</v>
      </c>
      <c r="C40" s="10"/>
      <c r="D40" s="11"/>
      <c r="E40" s="5"/>
      <c r="F40" s="5"/>
    </row>
    <row r="41" spans="1:6">
      <c r="A41" s="5" t="s">
        <v>103</v>
      </c>
      <c r="B41" s="11" t="s">
        <v>104</v>
      </c>
      <c r="C41" s="10" t="s">
        <v>80</v>
      </c>
      <c r="D41" s="11"/>
      <c r="E41" s="12">
        <v>60000</v>
      </c>
      <c r="F41" s="5"/>
    </row>
    <row r="42" spans="1:6">
      <c r="A42" s="5"/>
      <c r="B42" s="11" t="s">
        <v>105</v>
      </c>
      <c r="C42" s="10"/>
      <c r="D42" s="11"/>
      <c r="E42" s="5"/>
      <c r="F42" s="12">
        <v>60000</v>
      </c>
    </row>
    <row r="43" spans="1:6">
      <c r="A43" s="5"/>
      <c r="B43" s="11" t="s">
        <v>106</v>
      </c>
      <c r="C43" s="10"/>
      <c r="D43" s="11"/>
      <c r="E43" s="5"/>
      <c r="F43" s="5"/>
    </row>
    <row r="44" spans="1:6">
      <c r="A44" s="5" t="s">
        <v>107</v>
      </c>
      <c r="B44" s="11" t="s">
        <v>108</v>
      </c>
      <c r="C44" s="10" t="s">
        <v>80</v>
      </c>
      <c r="D44" s="11"/>
      <c r="E44" s="12">
        <v>28000</v>
      </c>
      <c r="F44" s="5"/>
    </row>
    <row r="45" spans="1:6">
      <c r="A45" s="5"/>
      <c r="B45" s="11" t="s">
        <v>82</v>
      </c>
      <c r="C45" s="10"/>
      <c r="D45" s="11"/>
      <c r="E45" s="5"/>
      <c r="F45" s="12">
        <v>28000</v>
      </c>
    </row>
    <row r="46" spans="1:6">
      <c r="A46" s="5"/>
      <c r="B46" s="11" t="s">
        <v>93</v>
      </c>
      <c r="C46" s="10"/>
      <c r="D46" s="11"/>
      <c r="E46" s="5"/>
      <c r="F46" s="5"/>
    </row>
    <row r="47" spans="1:6">
      <c r="A47" s="5" t="s">
        <v>109</v>
      </c>
      <c r="B47" s="11" t="s">
        <v>89</v>
      </c>
      <c r="C47" s="10" t="s">
        <v>80</v>
      </c>
      <c r="D47" s="11"/>
      <c r="E47" s="12">
        <v>242000</v>
      </c>
      <c r="F47" s="5"/>
    </row>
    <row r="48" spans="1:6">
      <c r="A48" s="5"/>
      <c r="B48" s="11" t="s">
        <v>110</v>
      </c>
      <c r="C48" s="10"/>
      <c r="D48" s="11"/>
      <c r="E48" s="12">
        <v>8000</v>
      </c>
      <c r="F48" s="5"/>
    </row>
    <row r="49" spans="1:6">
      <c r="A49" s="5"/>
      <c r="B49" s="11" t="s">
        <v>102</v>
      </c>
      <c r="C49" s="10"/>
      <c r="D49" s="11"/>
      <c r="E49" s="5"/>
      <c r="F49" s="12">
        <v>250000</v>
      </c>
    </row>
    <row r="50" spans="1:6">
      <c r="A50" s="5"/>
      <c r="B50" s="11" t="s">
        <v>111</v>
      </c>
      <c r="C50" s="10"/>
      <c r="D50" s="11"/>
      <c r="E50" s="5"/>
      <c r="F50" s="5"/>
    </row>
    <row r="51" spans="1:6">
      <c r="A51" s="5" t="s">
        <v>112</v>
      </c>
      <c r="B51" s="11" t="s">
        <v>97</v>
      </c>
      <c r="C51" s="10" t="s">
        <v>80</v>
      </c>
      <c r="D51" s="11"/>
      <c r="E51" s="12">
        <v>190000</v>
      </c>
      <c r="F51" s="5"/>
    </row>
    <row r="52" spans="1:6">
      <c r="A52" s="5"/>
      <c r="B52" s="11" t="s">
        <v>199</v>
      </c>
      <c r="C52" s="10"/>
      <c r="D52" s="11"/>
      <c r="E52" s="5"/>
      <c r="F52" s="12">
        <v>10000</v>
      </c>
    </row>
    <row r="53" spans="1:6">
      <c r="A53" s="5"/>
      <c r="B53" s="11" t="s">
        <v>105</v>
      </c>
      <c r="C53" s="10"/>
      <c r="D53" s="11"/>
      <c r="E53" s="5"/>
      <c r="F53" s="12">
        <v>180000</v>
      </c>
    </row>
    <row r="54" spans="1:6">
      <c r="A54" s="5"/>
      <c r="B54" s="11" t="s">
        <v>115</v>
      </c>
      <c r="C54" s="10"/>
      <c r="D54" s="11"/>
      <c r="E54" s="5"/>
      <c r="F54" s="5"/>
    </row>
    <row r="55" spans="1:6">
      <c r="A55" s="5" t="s">
        <v>116</v>
      </c>
      <c r="B55" s="11" t="s">
        <v>117</v>
      </c>
      <c r="C55" s="10" t="s">
        <v>80</v>
      </c>
      <c r="D55" s="11"/>
      <c r="E55" s="12">
        <v>22000</v>
      </c>
      <c r="F55" s="5"/>
    </row>
    <row r="56" spans="1:6">
      <c r="A56" s="5"/>
      <c r="B56" s="11" t="s">
        <v>82</v>
      </c>
      <c r="C56" s="10"/>
      <c r="D56" s="11"/>
      <c r="E56" s="5"/>
      <c r="F56" s="12">
        <v>22000</v>
      </c>
    </row>
    <row r="57" spans="1:6">
      <c r="A57" s="5"/>
      <c r="B57" s="11" t="s">
        <v>118</v>
      </c>
      <c r="C57" s="10"/>
      <c r="D57" s="11"/>
      <c r="E57" s="5"/>
      <c r="F57" s="5"/>
    </row>
    <row r="58" spans="1:6">
      <c r="A58" s="5" t="s">
        <v>119</v>
      </c>
      <c r="B58" s="11" t="s">
        <v>77</v>
      </c>
      <c r="C58" s="10" t="s">
        <v>80</v>
      </c>
      <c r="D58" s="11"/>
      <c r="E58" s="12">
        <v>95000</v>
      </c>
      <c r="F58" s="5"/>
    </row>
    <row r="59" spans="1:6">
      <c r="A59" s="5"/>
      <c r="B59" s="11" t="s">
        <v>120</v>
      </c>
      <c r="C59" s="10"/>
      <c r="D59" s="11"/>
      <c r="E59" s="5"/>
      <c r="F59" s="12">
        <v>95000</v>
      </c>
    </row>
    <row r="60" spans="1:6">
      <c r="A60" s="5"/>
      <c r="B60" s="11" t="s">
        <v>79</v>
      </c>
      <c r="C60" s="10"/>
      <c r="D60" s="11"/>
      <c r="E60" s="5"/>
      <c r="F60" s="5"/>
    </row>
    <row r="61" spans="1:6">
      <c r="A61" s="5" t="s">
        <v>121</v>
      </c>
      <c r="B61" s="11" t="s">
        <v>122</v>
      </c>
      <c r="C61" s="10" t="s">
        <v>80</v>
      </c>
      <c r="D61" s="11"/>
      <c r="E61" s="12">
        <v>140000</v>
      </c>
      <c r="F61" s="5"/>
    </row>
    <row r="62" spans="1:6">
      <c r="A62" s="5"/>
      <c r="B62" s="11" t="s">
        <v>85</v>
      </c>
      <c r="C62" s="10"/>
      <c r="D62" s="11"/>
      <c r="E62" s="5"/>
      <c r="F62" s="12">
        <v>140000</v>
      </c>
    </row>
    <row r="63" spans="1:6">
      <c r="A63" s="5"/>
      <c r="B63" s="11" t="s">
        <v>86</v>
      </c>
      <c r="C63" s="10"/>
      <c r="D63" s="11"/>
      <c r="E63" s="5"/>
      <c r="F63" s="5"/>
    </row>
    <row r="64" spans="1:6">
      <c r="A64" s="5" t="s">
        <v>123</v>
      </c>
      <c r="B64" s="11" t="s">
        <v>124</v>
      </c>
      <c r="C64" s="10" t="s">
        <v>80</v>
      </c>
      <c r="D64" s="11"/>
      <c r="E64" s="12">
        <v>125000</v>
      </c>
      <c r="F64" s="5"/>
    </row>
    <row r="65" spans="1:6">
      <c r="A65" s="5"/>
      <c r="B65" s="11" t="s">
        <v>125</v>
      </c>
      <c r="C65" s="10"/>
      <c r="D65" s="11"/>
      <c r="E65" s="5"/>
      <c r="F65" s="12">
        <v>125000</v>
      </c>
    </row>
    <row r="66" spans="1:6">
      <c r="A66" s="5"/>
      <c r="B66" s="11" t="s">
        <v>126</v>
      </c>
      <c r="C66" s="10"/>
      <c r="D66" s="11"/>
      <c r="E66" s="5"/>
      <c r="F66" s="5"/>
    </row>
    <row r="67" spans="1:6">
      <c r="A67" s="5" t="s">
        <v>127</v>
      </c>
      <c r="B67" s="11" t="s">
        <v>128</v>
      </c>
      <c r="C67" s="10" t="s">
        <v>80</v>
      </c>
      <c r="D67" s="11"/>
      <c r="E67" s="12">
        <v>7000</v>
      </c>
      <c r="F67" s="5"/>
    </row>
    <row r="68" spans="1:6">
      <c r="A68" s="5"/>
      <c r="B68" s="11" t="s">
        <v>82</v>
      </c>
      <c r="C68" s="10"/>
      <c r="D68" s="11"/>
      <c r="E68" s="5"/>
      <c r="F68" s="12">
        <v>7000</v>
      </c>
    </row>
    <row r="69" spans="1:6">
      <c r="A69" s="5"/>
      <c r="B69" s="11" t="s">
        <v>129</v>
      </c>
      <c r="C69" s="10"/>
      <c r="D69" s="11"/>
      <c r="E69" s="5"/>
      <c r="F69" s="5"/>
    </row>
    <row r="70" spans="1:6">
      <c r="A70" s="5" t="s">
        <v>130</v>
      </c>
      <c r="B70" s="11" t="s">
        <v>89</v>
      </c>
      <c r="C70" s="10" t="s">
        <v>80</v>
      </c>
      <c r="D70" s="11"/>
      <c r="E70" s="12">
        <v>11000</v>
      </c>
      <c r="F70" s="5"/>
    </row>
    <row r="71" spans="1:6">
      <c r="A71" s="5"/>
      <c r="B71" s="11" t="s">
        <v>131</v>
      </c>
      <c r="C71" s="10"/>
      <c r="D71" s="11"/>
      <c r="E71" s="5"/>
      <c r="F71" s="12">
        <v>11000</v>
      </c>
    </row>
    <row r="72" spans="1:6">
      <c r="A72" s="5"/>
      <c r="B72" s="11" t="s">
        <v>132</v>
      </c>
      <c r="C72" s="10"/>
      <c r="D72" s="11"/>
      <c r="E72" s="5"/>
      <c r="F72" s="5"/>
    </row>
    <row r="73" spans="1:6">
      <c r="A73" s="5" t="s">
        <v>133</v>
      </c>
      <c r="B73" s="11" t="s">
        <v>89</v>
      </c>
      <c r="C73" s="10" t="s">
        <v>80</v>
      </c>
      <c r="D73" s="11"/>
      <c r="E73" s="12">
        <v>25000</v>
      </c>
      <c r="F73" s="5"/>
    </row>
    <row r="74" spans="1:6">
      <c r="A74" s="5"/>
      <c r="B74" s="11" t="s">
        <v>105</v>
      </c>
      <c r="C74" s="10"/>
      <c r="D74" s="11"/>
      <c r="E74" s="5"/>
      <c r="F74" s="12">
        <v>25000</v>
      </c>
    </row>
    <row r="75" spans="1:6">
      <c r="A75" s="5"/>
      <c r="B75" s="11" t="s">
        <v>134</v>
      </c>
      <c r="C75" s="10"/>
      <c r="D75" s="11"/>
      <c r="E75" s="5"/>
      <c r="F75" s="5"/>
    </row>
    <row r="76" spans="1:6">
      <c r="A76" s="5" t="s">
        <v>135</v>
      </c>
      <c r="B76" s="11" t="s">
        <v>136</v>
      </c>
      <c r="C76" s="10" t="s">
        <v>80</v>
      </c>
      <c r="D76" s="11"/>
      <c r="E76" s="12">
        <v>15000</v>
      </c>
      <c r="F76" s="5"/>
    </row>
    <row r="77" spans="1:6">
      <c r="A77" s="5"/>
      <c r="B77" s="11" t="s">
        <v>82</v>
      </c>
      <c r="C77" s="10"/>
      <c r="D77" s="11"/>
      <c r="E77" s="5"/>
      <c r="F77" s="12">
        <v>15000</v>
      </c>
    </row>
    <row r="78" spans="1:6">
      <c r="A78" s="5"/>
      <c r="B78" s="11" t="s">
        <v>137</v>
      </c>
      <c r="C78" s="10"/>
      <c r="D78" s="11"/>
      <c r="E78" s="5"/>
      <c r="F78" s="5"/>
    </row>
    <row r="79" spans="1:6">
      <c r="A79" s="5" t="s">
        <v>138</v>
      </c>
      <c r="B79" s="11" t="s">
        <v>139</v>
      </c>
      <c r="C79" s="10" t="s">
        <v>80</v>
      </c>
      <c r="D79" s="11"/>
      <c r="E79" s="12">
        <v>8000</v>
      </c>
      <c r="F79" s="5"/>
    </row>
    <row r="80" spans="1:6">
      <c r="A80" s="5"/>
      <c r="B80" s="11" t="s">
        <v>105</v>
      </c>
      <c r="C80" s="10"/>
      <c r="D80" s="11"/>
      <c r="E80" s="5"/>
      <c r="F80" s="12">
        <v>8000</v>
      </c>
    </row>
    <row r="81" spans="1:6">
      <c r="A81" s="5"/>
      <c r="B81" s="11" t="s">
        <v>140</v>
      </c>
      <c r="C81" s="10"/>
      <c r="D81" s="11"/>
      <c r="E81" s="5"/>
      <c r="F81" s="5"/>
    </row>
    <row r="82" spans="1:6">
      <c r="A82" s="5" t="s">
        <v>141</v>
      </c>
      <c r="B82" s="11" t="s">
        <v>142</v>
      </c>
      <c r="C82" s="10" t="s">
        <v>80</v>
      </c>
      <c r="D82" s="11"/>
      <c r="E82" s="12">
        <v>5000</v>
      </c>
      <c r="F82" s="5"/>
    </row>
    <row r="83" spans="1:6">
      <c r="A83" s="5"/>
      <c r="B83" s="11" t="s">
        <v>82</v>
      </c>
      <c r="C83" s="10"/>
      <c r="D83" s="11"/>
      <c r="E83" s="5"/>
      <c r="F83" s="12">
        <v>5000</v>
      </c>
    </row>
    <row r="84" spans="1:6">
      <c r="A84" s="5"/>
      <c r="B84" s="11" t="s">
        <v>93</v>
      </c>
      <c r="C84" s="10"/>
      <c r="D84" s="11"/>
      <c r="E84" s="5"/>
      <c r="F84" s="5"/>
    </row>
    <row r="85" spans="1:6">
      <c r="A85" s="5" t="s">
        <v>143</v>
      </c>
      <c r="B85" s="11" t="s">
        <v>124</v>
      </c>
      <c r="C85" s="10" t="s">
        <v>80</v>
      </c>
      <c r="D85" s="11"/>
      <c r="E85" s="12">
        <v>4000</v>
      </c>
      <c r="F85" s="5"/>
    </row>
    <row r="86" spans="1:6">
      <c r="A86" s="5"/>
      <c r="B86" s="11" t="s">
        <v>144</v>
      </c>
      <c r="C86" s="10"/>
      <c r="D86" s="11"/>
      <c r="E86" s="5"/>
      <c r="F86" s="12">
        <v>4000</v>
      </c>
    </row>
    <row r="87" spans="1:6">
      <c r="A87" s="5"/>
      <c r="B87" s="11" t="s">
        <v>145</v>
      </c>
      <c r="C87" s="10"/>
      <c r="D87" s="11"/>
      <c r="E87" s="5"/>
      <c r="F87" s="5"/>
    </row>
    <row r="88" spans="1:6">
      <c r="A88" s="5" t="s">
        <v>146</v>
      </c>
      <c r="B88" s="11" t="s">
        <v>77</v>
      </c>
      <c r="C88" s="10" t="s">
        <v>80</v>
      </c>
      <c r="D88" s="11"/>
      <c r="E88" s="12">
        <v>35000</v>
      </c>
      <c r="F88" s="5"/>
    </row>
    <row r="89" spans="1:6">
      <c r="A89" s="5"/>
      <c r="B89" s="11" t="s">
        <v>82</v>
      </c>
      <c r="C89" s="10"/>
      <c r="D89" s="11"/>
      <c r="E89" s="5"/>
      <c r="F89" s="12">
        <v>35000</v>
      </c>
    </row>
    <row r="90" spans="1:6">
      <c r="A90" s="5"/>
      <c r="B90" s="11" t="s">
        <v>79</v>
      </c>
      <c r="C90" s="10"/>
      <c r="D90" s="11"/>
      <c r="E90" s="5"/>
      <c r="F90" s="5"/>
    </row>
    <row r="91" spans="1:6">
      <c r="A91" s="5" t="s">
        <v>147</v>
      </c>
      <c r="B91" s="11" t="s">
        <v>148</v>
      </c>
      <c r="C91" s="10" t="s">
        <v>80</v>
      </c>
      <c r="D91" s="11"/>
      <c r="E91" s="12">
        <v>10000</v>
      </c>
      <c r="F91" s="5"/>
    </row>
    <row r="92" spans="1:6">
      <c r="A92" s="5"/>
      <c r="B92" s="11" t="s">
        <v>82</v>
      </c>
      <c r="C92" s="10"/>
      <c r="D92" s="11"/>
      <c r="E92" s="5"/>
      <c r="F92" s="12">
        <v>10000</v>
      </c>
    </row>
    <row r="93" spans="1:6">
      <c r="A93" s="5"/>
      <c r="B93" s="11" t="s">
        <v>129</v>
      </c>
      <c r="C93" s="10"/>
      <c r="D93" s="11"/>
      <c r="E93" s="5"/>
      <c r="F93" s="5"/>
    </row>
    <row r="94" spans="1:6">
      <c r="A94" s="5" t="s">
        <v>149</v>
      </c>
      <c r="B94" s="11" t="s">
        <v>150</v>
      </c>
      <c r="C94" s="10" t="s">
        <v>80</v>
      </c>
      <c r="D94" s="11"/>
      <c r="E94" s="12">
        <v>3500</v>
      </c>
      <c r="F94" s="5"/>
    </row>
    <row r="95" spans="1:6">
      <c r="A95" s="5"/>
      <c r="B95" s="11" t="s">
        <v>82</v>
      </c>
      <c r="C95" s="10"/>
      <c r="D95" s="11"/>
      <c r="E95" s="5"/>
      <c r="F95" s="12">
        <v>3500</v>
      </c>
    </row>
    <row r="96" spans="1:6">
      <c r="A96" s="5"/>
      <c r="B96" s="11" t="s">
        <v>151</v>
      </c>
      <c r="C96" s="10"/>
      <c r="D96" s="11"/>
      <c r="E96" s="5"/>
      <c r="F96" s="5"/>
    </row>
    <row r="97" spans="1:6">
      <c r="A97" s="5" t="s">
        <v>152</v>
      </c>
      <c r="B97" s="11" t="s">
        <v>153</v>
      </c>
      <c r="C97" s="10" t="s">
        <v>80</v>
      </c>
      <c r="D97" s="11"/>
      <c r="E97" s="12">
        <v>30000</v>
      </c>
      <c r="F97" s="5"/>
    </row>
    <row r="98" spans="1:6">
      <c r="A98" s="5"/>
      <c r="B98" s="11" t="s">
        <v>82</v>
      </c>
      <c r="C98" s="10"/>
      <c r="D98" s="11"/>
      <c r="E98" s="5"/>
      <c r="F98" s="12">
        <v>30000</v>
      </c>
    </row>
    <row r="99" spans="1:6">
      <c r="A99" s="5"/>
      <c r="B99" s="11" t="s">
        <v>154</v>
      </c>
      <c r="C99" s="10"/>
      <c r="D99" s="11"/>
      <c r="E99" s="5"/>
      <c r="F99" s="5"/>
    </row>
    <row r="100" spans="1:6">
      <c r="A100" s="5" t="s">
        <v>155</v>
      </c>
      <c r="B100" s="11" t="s">
        <v>156</v>
      </c>
      <c r="C100" s="10" t="s">
        <v>80</v>
      </c>
      <c r="D100" s="11"/>
      <c r="E100" s="12">
        <v>7000</v>
      </c>
      <c r="F100" s="5"/>
    </row>
    <row r="101" spans="1:6">
      <c r="A101" s="5"/>
      <c r="B101" s="11" t="s">
        <v>82</v>
      </c>
      <c r="C101" s="10"/>
      <c r="D101" s="11"/>
      <c r="E101" s="5"/>
      <c r="F101" s="12">
        <v>7000</v>
      </c>
    </row>
    <row r="102" spans="1:6">
      <c r="A102" s="5"/>
      <c r="B102" s="11" t="s">
        <v>157</v>
      </c>
      <c r="C102" s="10"/>
      <c r="D102" s="11"/>
      <c r="E102" s="5"/>
      <c r="F102" s="5"/>
    </row>
    <row r="103" spans="1:6">
      <c r="A103" s="5" t="s">
        <v>158</v>
      </c>
      <c r="B103" s="11" t="s">
        <v>124</v>
      </c>
      <c r="C103" s="10" t="s">
        <v>80</v>
      </c>
      <c r="D103" s="11"/>
      <c r="E103" s="12">
        <v>50000</v>
      </c>
      <c r="F103" s="5"/>
    </row>
    <row r="104" spans="1:6">
      <c r="A104" s="5"/>
      <c r="B104" s="11" t="s">
        <v>82</v>
      </c>
      <c r="C104" s="10"/>
      <c r="D104" s="11"/>
      <c r="E104" s="5"/>
      <c r="F104" s="12">
        <v>50000</v>
      </c>
    </row>
    <row r="105" spans="1:6">
      <c r="A105" s="5"/>
      <c r="B105" s="11" t="s">
        <v>159</v>
      </c>
      <c r="C105" s="10"/>
      <c r="D105" s="11"/>
      <c r="E105" s="5"/>
      <c r="F105" s="5"/>
    </row>
    <row r="106" spans="1:6">
      <c r="A106" s="8"/>
      <c r="B106" s="6"/>
      <c r="C106" s="9"/>
      <c r="D106" s="6"/>
      <c r="E106" s="8"/>
      <c r="F106" s="8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0"/>
  <sheetViews>
    <sheetView workbookViewId="0">
      <selection activeCell="I9" sqref="I9"/>
    </sheetView>
  </sheetViews>
  <sheetFormatPr defaultRowHeight="14"/>
  <cols>
    <col min="1" max="1" width="10.58203125" customWidth="1"/>
    <col min="2" max="2" width="35.9140625" customWidth="1"/>
    <col min="3" max="3" width="5.08203125" customWidth="1"/>
    <col min="4" max="4" width="11.4140625" customWidth="1"/>
    <col min="5" max="5" width="11" customWidth="1"/>
    <col min="6" max="6" width="36" customWidth="1"/>
    <col min="7" max="7" width="4.4140625" customWidth="1"/>
    <col min="8" max="8" width="11.33203125" customWidth="1"/>
  </cols>
  <sheetData>
    <row r="1" spans="1:25" ht="18">
      <c r="A1" s="40" t="s">
        <v>161</v>
      </c>
      <c r="B1" s="40"/>
      <c r="C1" s="40"/>
      <c r="D1" s="40"/>
      <c r="E1" s="40"/>
      <c r="F1" s="40"/>
      <c r="G1" s="40"/>
      <c r="H1" s="40"/>
    </row>
    <row r="2" spans="1:25" ht="15.5">
      <c r="A2" s="39" t="s">
        <v>234</v>
      </c>
      <c r="B2" s="39"/>
      <c r="C2" s="39"/>
      <c r="D2" s="39"/>
      <c r="E2" s="39"/>
      <c r="F2" s="39"/>
      <c r="G2" s="39"/>
      <c r="H2" s="39"/>
    </row>
    <row r="3" spans="1:25">
      <c r="A3" s="23" t="s">
        <v>32</v>
      </c>
      <c r="B3" s="23" t="s">
        <v>18</v>
      </c>
      <c r="C3" s="23" t="s">
        <v>162</v>
      </c>
      <c r="D3" s="23" t="s">
        <v>160</v>
      </c>
      <c r="E3" s="23" t="s">
        <v>32</v>
      </c>
      <c r="F3" s="23" t="s">
        <v>18</v>
      </c>
      <c r="G3" s="23" t="s">
        <v>162</v>
      </c>
      <c r="H3" s="23" t="s">
        <v>160</v>
      </c>
    </row>
    <row r="4" spans="1:25">
      <c r="A4" s="41" t="s">
        <v>200</v>
      </c>
      <c r="B4" s="42" t="s">
        <v>235</v>
      </c>
      <c r="C4" s="41"/>
      <c r="D4" s="43">
        <v>90000</v>
      </c>
      <c r="E4" s="41" t="s">
        <v>200</v>
      </c>
      <c r="F4" s="42" t="s">
        <v>220</v>
      </c>
      <c r="G4" s="41"/>
      <c r="H4" s="44">
        <v>55000</v>
      </c>
    </row>
    <row r="5" spans="1:25">
      <c r="A5" s="41" t="s">
        <v>200</v>
      </c>
      <c r="B5" s="42" t="s">
        <v>231</v>
      </c>
      <c r="C5" s="41"/>
      <c r="D5" s="43">
        <v>55000</v>
      </c>
      <c r="E5" s="41" t="s">
        <v>200</v>
      </c>
      <c r="F5" s="42" t="s">
        <v>221</v>
      </c>
      <c r="G5" s="41"/>
      <c r="H5" s="47">
        <v>150000</v>
      </c>
      <c r="I5" s="52"/>
      <c r="J5" s="53"/>
      <c r="K5" s="52"/>
      <c r="L5" s="54"/>
      <c r="M5" s="52"/>
      <c r="N5" s="53"/>
      <c r="O5" s="52"/>
      <c r="P5" s="55"/>
      <c r="Q5" s="56"/>
      <c r="R5" s="52"/>
      <c r="S5" s="53"/>
      <c r="T5" s="52"/>
      <c r="U5" s="54"/>
      <c r="V5" s="52"/>
      <c r="W5" s="53"/>
      <c r="X5" s="52"/>
      <c r="Y5" s="55"/>
    </row>
    <row r="6" spans="1:25">
      <c r="A6" s="41" t="s">
        <v>200</v>
      </c>
      <c r="B6" s="42" t="s">
        <v>236</v>
      </c>
      <c r="C6" s="41"/>
      <c r="D6" s="43">
        <v>150000</v>
      </c>
      <c r="E6" s="41" t="s">
        <v>200</v>
      </c>
      <c r="F6" s="42" t="s">
        <v>237</v>
      </c>
      <c r="G6" s="41"/>
      <c r="H6" s="47">
        <v>120000</v>
      </c>
      <c r="I6" s="52"/>
      <c r="J6" s="53"/>
      <c r="K6" s="52"/>
      <c r="L6" s="54"/>
      <c r="M6" s="52"/>
      <c r="N6" s="53"/>
      <c r="O6" s="52"/>
      <c r="P6" s="55"/>
      <c r="Q6" s="56"/>
      <c r="R6" s="52"/>
      <c r="S6" s="53"/>
      <c r="T6" s="52"/>
      <c r="U6" s="54"/>
      <c r="V6" s="52"/>
      <c r="W6" s="53"/>
      <c r="X6" s="52"/>
      <c r="Y6" s="55"/>
    </row>
    <row r="7" spans="1:25">
      <c r="A7" s="41" t="s">
        <v>158</v>
      </c>
      <c r="B7" s="41" t="s">
        <v>238</v>
      </c>
      <c r="C7" s="41"/>
      <c r="D7" s="44">
        <v>905000</v>
      </c>
      <c r="E7" s="41" t="s">
        <v>200</v>
      </c>
      <c r="F7" s="42" t="s">
        <v>223</v>
      </c>
      <c r="G7" s="41"/>
      <c r="H7" s="48">
        <v>80000</v>
      </c>
      <c r="I7" s="52"/>
      <c r="J7" s="53"/>
      <c r="K7" s="52"/>
      <c r="L7" s="54"/>
      <c r="M7" s="52"/>
      <c r="N7" s="53"/>
      <c r="O7" s="52"/>
      <c r="P7" s="55"/>
      <c r="Q7" s="56"/>
      <c r="R7" s="52"/>
      <c r="S7" s="53"/>
      <c r="T7" s="52"/>
      <c r="U7" s="54"/>
      <c r="V7" s="52"/>
      <c r="W7" s="53"/>
      <c r="X7" s="52"/>
      <c r="Y7" s="55"/>
    </row>
    <row r="8" spans="1:25">
      <c r="A8" s="41"/>
      <c r="B8" s="41"/>
      <c r="C8" s="41"/>
      <c r="D8" s="41"/>
      <c r="E8" s="41" t="s">
        <v>200</v>
      </c>
      <c r="F8" s="42" t="s">
        <v>225</v>
      </c>
      <c r="G8" s="41"/>
      <c r="H8" s="48">
        <v>250000</v>
      </c>
      <c r="I8" s="52"/>
      <c r="J8" s="52"/>
      <c r="K8" s="52"/>
      <c r="L8" s="55"/>
      <c r="M8" s="52"/>
      <c r="N8" s="53"/>
      <c r="O8" s="52"/>
      <c r="P8" s="54"/>
      <c r="Q8" s="56"/>
      <c r="R8" s="52"/>
      <c r="S8" s="52"/>
      <c r="T8" s="52"/>
      <c r="U8" s="55"/>
      <c r="V8" s="52"/>
      <c r="W8" s="53"/>
      <c r="X8" s="52"/>
      <c r="Y8" s="54"/>
    </row>
    <row r="9" spans="1:25">
      <c r="A9" s="41"/>
      <c r="B9" s="41"/>
      <c r="C9" s="41"/>
      <c r="D9" s="44"/>
      <c r="E9" s="41" t="s">
        <v>200</v>
      </c>
      <c r="F9" s="42" t="s">
        <v>239</v>
      </c>
      <c r="G9" s="41"/>
      <c r="H9" s="48">
        <v>400000</v>
      </c>
      <c r="I9" s="52"/>
      <c r="J9" s="52"/>
      <c r="K9" s="52"/>
      <c r="L9" s="55"/>
      <c r="M9" s="52"/>
      <c r="N9" s="53"/>
      <c r="O9" s="52"/>
      <c r="P9" s="54"/>
      <c r="Q9" s="56"/>
      <c r="R9" s="52"/>
      <c r="S9" s="52"/>
      <c r="T9" s="52"/>
      <c r="U9" s="55"/>
      <c r="V9" s="52"/>
      <c r="W9" s="53"/>
      <c r="X9" s="52"/>
      <c r="Y9" s="54"/>
    </row>
    <row r="10" spans="1:25">
      <c r="A10" s="41"/>
      <c r="B10" s="41"/>
      <c r="C10" s="41"/>
      <c r="D10" s="44"/>
      <c r="E10" s="41" t="s">
        <v>200</v>
      </c>
      <c r="F10" s="42" t="s">
        <v>240</v>
      </c>
      <c r="G10" s="41"/>
      <c r="H10" s="48">
        <v>85000</v>
      </c>
      <c r="I10" s="52"/>
      <c r="J10" s="52"/>
      <c r="K10" s="52"/>
      <c r="L10" s="55"/>
      <c r="M10" s="52"/>
      <c r="N10" s="53"/>
      <c r="O10" s="52"/>
      <c r="P10" s="54"/>
      <c r="Q10" s="56"/>
      <c r="R10" s="52"/>
      <c r="S10" s="52"/>
      <c r="T10" s="52"/>
      <c r="U10" s="55"/>
      <c r="V10" s="52"/>
      <c r="W10" s="53"/>
      <c r="X10" s="52"/>
      <c r="Y10" s="54"/>
    </row>
    <row r="11" spans="1:25">
      <c r="A11" s="41"/>
      <c r="B11" s="41"/>
      <c r="C11" s="41"/>
      <c r="D11" s="44"/>
      <c r="E11" s="41" t="s">
        <v>200</v>
      </c>
      <c r="F11" s="42" t="s">
        <v>241</v>
      </c>
      <c r="G11" s="41"/>
      <c r="H11" s="48">
        <v>60000</v>
      </c>
      <c r="I11" s="52"/>
      <c r="J11" s="52"/>
      <c r="K11" s="52"/>
      <c r="L11" s="55"/>
      <c r="M11" s="52"/>
      <c r="N11" s="53"/>
      <c r="O11" s="52"/>
      <c r="P11" s="54"/>
      <c r="Q11" s="56"/>
      <c r="R11" s="52"/>
      <c r="S11" s="52"/>
      <c r="T11" s="52"/>
      <c r="U11" s="55"/>
      <c r="V11" s="52"/>
      <c r="W11" s="53"/>
      <c r="X11" s="52"/>
      <c r="Y11" s="54"/>
    </row>
    <row r="12" spans="1:25">
      <c r="A12" s="41"/>
      <c r="B12" s="41"/>
      <c r="C12" s="41"/>
      <c r="D12" s="45">
        <f>SUM(D4:D11)</f>
        <v>1200000</v>
      </c>
      <c r="E12" s="41"/>
      <c r="F12" s="41"/>
      <c r="G12" s="41"/>
      <c r="H12" s="49">
        <f>SUM(H4:H11)</f>
        <v>1200000</v>
      </c>
      <c r="I12" s="52"/>
      <c r="J12" s="52"/>
      <c r="K12" s="52"/>
      <c r="L12" s="55"/>
      <c r="M12" s="52"/>
      <c r="N12" s="53"/>
      <c r="O12" s="52"/>
      <c r="P12" s="54"/>
      <c r="Q12" s="56"/>
      <c r="R12" s="52"/>
      <c r="S12" s="52"/>
      <c r="T12" s="52"/>
      <c r="U12" s="55"/>
      <c r="V12" s="52"/>
      <c r="W12" s="53"/>
      <c r="X12" s="52"/>
      <c r="Y12" s="54"/>
    </row>
    <row r="13" spans="1:25">
      <c r="A13" s="41"/>
      <c r="B13" s="41"/>
      <c r="C13" s="41"/>
      <c r="D13" s="41"/>
      <c r="E13" s="41" t="s">
        <v>185</v>
      </c>
      <c r="F13" s="41" t="s">
        <v>242</v>
      </c>
      <c r="G13" s="41"/>
      <c r="H13" s="47">
        <v>905000</v>
      </c>
      <c r="I13" s="52"/>
      <c r="J13" s="52"/>
      <c r="K13" s="52"/>
      <c r="L13" s="55"/>
      <c r="M13" s="52"/>
      <c r="N13" s="53"/>
      <c r="O13" s="52"/>
      <c r="P13" s="54"/>
      <c r="Q13" s="56"/>
      <c r="R13" s="52"/>
      <c r="S13" s="52"/>
      <c r="T13" s="52"/>
      <c r="U13" s="55"/>
      <c r="V13" s="52"/>
      <c r="W13" s="53"/>
      <c r="X13" s="52"/>
      <c r="Y13" s="54"/>
    </row>
    <row r="14" spans="1:25" ht="18">
      <c r="A14" s="31"/>
      <c r="B14" s="31"/>
      <c r="C14" s="31"/>
      <c r="D14" s="31"/>
      <c r="E14" s="31"/>
      <c r="F14" s="31"/>
      <c r="G14" s="31"/>
      <c r="H14" s="31"/>
      <c r="I14" s="52"/>
      <c r="J14" s="52"/>
      <c r="K14" s="52"/>
      <c r="L14" s="55"/>
      <c r="M14" s="52"/>
      <c r="N14" s="53"/>
      <c r="O14" s="52"/>
      <c r="P14" s="54"/>
      <c r="Q14" s="56"/>
      <c r="R14" s="52"/>
      <c r="S14" s="52"/>
      <c r="T14" s="52"/>
      <c r="U14" s="55"/>
      <c r="V14" s="52"/>
      <c r="W14" s="53"/>
      <c r="X14" s="52"/>
      <c r="Y14" s="54"/>
    </row>
    <row r="15" spans="1:25" ht="18">
      <c r="A15" s="31"/>
      <c r="B15" s="31"/>
      <c r="C15" s="31"/>
      <c r="D15" s="31"/>
      <c r="E15" s="31"/>
      <c r="F15" s="31"/>
      <c r="G15" s="31"/>
      <c r="H15" s="31"/>
      <c r="I15" s="52"/>
      <c r="J15" s="52"/>
      <c r="K15" s="52"/>
      <c r="L15" s="55"/>
      <c r="M15" s="52"/>
      <c r="N15" s="53"/>
      <c r="O15" s="52"/>
      <c r="P15" s="54"/>
      <c r="Q15" s="56"/>
      <c r="R15" s="52"/>
      <c r="S15" s="52"/>
      <c r="T15" s="52"/>
      <c r="U15" s="55"/>
      <c r="V15" s="52"/>
      <c r="W15" s="53"/>
      <c r="X15" s="52"/>
      <c r="Y15" s="54"/>
    </row>
    <row r="16" spans="1:25" ht="18">
      <c r="A16" s="31"/>
      <c r="B16" s="31"/>
      <c r="C16" s="31"/>
      <c r="D16" s="31"/>
      <c r="E16" s="31"/>
      <c r="F16" s="31"/>
      <c r="G16" s="31"/>
      <c r="H16" s="31"/>
      <c r="I16" s="52"/>
      <c r="J16" s="52"/>
      <c r="K16" s="52"/>
      <c r="L16" s="55"/>
      <c r="M16" s="52"/>
      <c r="N16" s="53"/>
      <c r="O16" s="52"/>
      <c r="P16" s="54"/>
      <c r="Q16" s="56"/>
      <c r="R16" s="52"/>
      <c r="S16" s="52"/>
      <c r="T16" s="52"/>
      <c r="U16" s="55"/>
      <c r="V16" s="52"/>
      <c r="W16" s="53"/>
      <c r="X16" s="52"/>
      <c r="Y16" s="54"/>
    </row>
    <row r="17" spans="1:25" ht="18">
      <c r="A17" s="31"/>
      <c r="B17" s="31"/>
      <c r="C17" s="31"/>
      <c r="D17" s="31"/>
      <c r="E17" s="31"/>
      <c r="F17" s="31"/>
      <c r="G17" s="31"/>
      <c r="H17" s="31"/>
      <c r="I17" s="52"/>
      <c r="J17" s="52"/>
      <c r="K17" s="52"/>
      <c r="L17" s="52"/>
      <c r="M17" s="52"/>
      <c r="N17" s="53"/>
      <c r="O17" s="52"/>
      <c r="P17" s="54"/>
      <c r="Q17" s="56"/>
      <c r="R17" s="52"/>
      <c r="S17" s="52"/>
      <c r="T17" s="52"/>
      <c r="U17" s="52"/>
      <c r="V17" s="52"/>
      <c r="W17" s="53"/>
      <c r="X17" s="52"/>
      <c r="Y17" s="54"/>
    </row>
    <row r="18" spans="1:25" ht="18">
      <c r="A18" s="31" t="s">
        <v>233</v>
      </c>
      <c r="B18" s="31"/>
      <c r="C18" s="31"/>
      <c r="D18" s="31"/>
      <c r="E18" s="31"/>
      <c r="F18" s="31"/>
      <c r="G18" s="31"/>
      <c r="H18" s="31"/>
      <c r="I18" s="52"/>
      <c r="J18" s="52"/>
      <c r="K18" s="52"/>
      <c r="L18" s="55"/>
      <c r="M18" s="52"/>
      <c r="N18" s="53"/>
      <c r="O18" s="52"/>
      <c r="P18" s="54"/>
      <c r="Q18" s="56"/>
      <c r="R18" s="52"/>
      <c r="S18" s="52"/>
      <c r="T18" s="52"/>
      <c r="U18" s="55"/>
      <c r="V18" s="52"/>
      <c r="W18" s="53"/>
      <c r="X18" s="52"/>
      <c r="Y18" s="54"/>
    </row>
    <row r="19" spans="1:25" ht="15.5">
      <c r="A19" s="46" t="s">
        <v>164</v>
      </c>
      <c r="B19" s="46"/>
      <c r="C19" s="46"/>
      <c r="D19" s="46"/>
      <c r="E19" s="46"/>
      <c r="F19" s="46"/>
      <c r="G19" s="46"/>
      <c r="H19" s="46"/>
      <c r="I19" s="52"/>
      <c r="J19" s="52"/>
      <c r="K19" s="52"/>
      <c r="L19" s="55"/>
      <c r="M19" s="52"/>
      <c r="N19" s="53"/>
      <c r="O19" s="52"/>
      <c r="P19" s="54"/>
      <c r="Q19" s="56"/>
      <c r="R19" s="52"/>
      <c r="S19" s="52"/>
      <c r="T19" s="52"/>
      <c r="U19" s="55"/>
      <c r="V19" s="52"/>
      <c r="W19" s="53"/>
      <c r="X19" s="52"/>
      <c r="Y19" s="54"/>
    </row>
    <row r="20" spans="1:25">
      <c r="A20" s="24" t="s">
        <v>32</v>
      </c>
      <c r="B20" s="24" t="s">
        <v>18</v>
      </c>
      <c r="C20" s="24" t="s">
        <v>162</v>
      </c>
      <c r="D20" s="24" t="s">
        <v>160</v>
      </c>
      <c r="E20" s="24" t="s">
        <v>163</v>
      </c>
      <c r="F20" s="24" t="s">
        <v>18</v>
      </c>
      <c r="G20" s="24" t="s">
        <v>162</v>
      </c>
      <c r="H20" s="50" t="s">
        <v>160</v>
      </c>
      <c r="I20" s="52"/>
      <c r="J20" s="52"/>
      <c r="K20" s="52"/>
      <c r="L20" s="55"/>
      <c r="M20" s="52"/>
      <c r="N20" s="53"/>
      <c r="O20" s="52"/>
      <c r="P20" s="54"/>
      <c r="Q20" s="56"/>
      <c r="R20" s="52"/>
      <c r="S20" s="52"/>
      <c r="T20" s="52"/>
      <c r="U20" s="55"/>
      <c r="V20" s="52"/>
      <c r="W20" s="53"/>
      <c r="X20" s="52"/>
      <c r="Y20" s="54"/>
    </row>
    <row r="21" spans="1:25">
      <c r="A21" s="3" t="s">
        <v>88</v>
      </c>
      <c r="B21" s="3" t="s">
        <v>166</v>
      </c>
      <c r="C21" s="3"/>
      <c r="D21" s="25">
        <v>90000</v>
      </c>
      <c r="E21" s="3" t="s">
        <v>81</v>
      </c>
      <c r="F21" s="3" t="s">
        <v>165</v>
      </c>
      <c r="G21" s="3"/>
      <c r="H21" s="51">
        <v>50000</v>
      </c>
      <c r="I21" s="52"/>
      <c r="J21" s="52"/>
      <c r="K21" s="52"/>
      <c r="L21" s="57"/>
      <c r="M21" s="52"/>
      <c r="N21" s="52"/>
      <c r="O21" s="52"/>
      <c r="P21" s="57"/>
      <c r="Q21" s="56"/>
      <c r="R21" s="52"/>
      <c r="S21" s="52"/>
      <c r="T21" s="52"/>
      <c r="U21" s="57"/>
      <c r="V21" s="52"/>
      <c r="W21" s="52"/>
      <c r="X21" s="52"/>
      <c r="Y21" s="57"/>
    </row>
    <row r="22" spans="1:25">
      <c r="A22" s="3" t="s">
        <v>109</v>
      </c>
      <c r="B22" s="3" t="s">
        <v>170</v>
      </c>
      <c r="C22" s="3"/>
      <c r="D22" s="25">
        <v>242000</v>
      </c>
      <c r="E22" s="3" t="s">
        <v>91</v>
      </c>
      <c r="F22" s="3" t="s">
        <v>167</v>
      </c>
      <c r="G22" s="3"/>
      <c r="H22" s="51">
        <v>6000</v>
      </c>
      <c r="I22" s="52"/>
      <c r="J22" s="52"/>
      <c r="K22" s="52"/>
      <c r="L22" s="52"/>
      <c r="M22" s="52"/>
      <c r="N22" s="52"/>
      <c r="O22" s="52"/>
      <c r="P22" s="55"/>
      <c r="Q22" s="56"/>
      <c r="R22" s="52"/>
      <c r="S22" s="52"/>
      <c r="T22" s="52"/>
      <c r="U22" s="52"/>
      <c r="V22" s="52"/>
      <c r="W22" s="52"/>
      <c r="X22" s="52"/>
      <c r="Y22" s="55"/>
    </row>
    <row r="23" spans="1:25">
      <c r="A23" s="3" t="s">
        <v>130</v>
      </c>
      <c r="B23" s="3" t="s">
        <v>173</v>
      </c>
      <c r="C23" s="3"/>
      <c r="D23" s="25">
        <v>11000</v>
      </c>
      <c r="E23" s="3" t="s">
        <v>94</v>
      </c>
      <c r="F23" s="3" t="s">
        <v>168</v>
      </c>
      <c r="G23" s="3"/>
      <c r="H23" s="51">
        <v>18000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</row>
    <row r="24" spans="1:25">
      <c r="A24" s="3" t="s">
        <v>133</v>
      </c>
      <c r="B24" s="3" t="s">
        <v>174</v>
      </c>
      <c r="C24" s="3"/>
      <c r="D24" s="25">
        <v>25000</v>
      </c>
      <c r="E24" s="3" t="s">
        <v>107</v>
      </c>
      <c r="F24" s="3" t="s">
        <v>169</v>
      </c>
      <c r="G24" s="3"/>
      <c r="H24" s="25">
        <v>28000</v>
      </c>
    </row>
    <row r="25" spans="1:25">
      <c r="A25" s="3"/>
      <c r="B25" s="3"/>
      <c r="C25" s="3"/>
      <c r="D25" s="3"/>
      <c r="E25" s="3" t="s">
        <v>116</v>
      </c>
      <c r="F25" s="3" t="s">
        <v>171</v>
      </c>
      <c r="G25" s="3"/>
      <c r="H25" s="25">
        <v>22000</v>
      </c>
    </row>
    <row r="26" spans="1:25">
      <c r="A26" s="3"/>
      <c r="B26" s="3"/>
      <c r="C26" s="3"/>
      <c r="D26" s="3"/>
      <c r="E26" s="3" t="s">
        <v>127</v>
      </c>
      <c r="F26" s="3" t="s">
        <v>172</v>
      </c>
      <c r="G26" s="3"/>
      <c r="H26" s="25">
        <v>7000</v>
      </c>
    </row>
    <row r="27" spans="1:25">
      <c r="A27" s="3"/>
      <c r="B27" s="3"/>
      <c r="C27" s="3"/>
      <c r="D27" s="3"/>
      <c r="E27" s="3" t="s">
        <v>135</v>
      </c>
      <c r="F27" s="3" t="s">
        <v>175</v>
      </c>
      <c r="G27" s="3"/>
      <c r="H27" s="25">
        <v>15000</v>
      </c>
    </row>
    <row r="28" spans="1:25">
      <c r="A28" s="3"/>
      <c r="B28" s="3"/>
      <c r="C28" s="3"/>
      <c r="D28" s="3"/>
      <c r="E28" s="3" t="s">
        <v>176</v>
      </c>
      <c r="F28" s="3" t="s">
        <v>177</v>
      </c>
      <c r="G28" s="3"/>
      <c r="H28" s="25">
        <v>5000</v>
      </c>
    </row>
    <row r="29" spans="1:25">
      <c r="A29" s="3"/>
      <c r="B29" s="3"/>
      <c r="C29" s="3"/>
      <c r="D29" s="3"/>
      <c r="E29" s="3" t="s">
        <v>146</v>
      </c>
      <c r="F29" s="3" t="s">
        <v>165</v>
      </c>
      <c r="G29" s="3"/>
      <c r="H29" s="25">
        <v>35000</v>
      </c>
    </row>
    <row r="30" spans="1:25">
      <c r="A30" s="3"/>
      <c r="B30" s="3"/>
      <c r="C30" s="3"/>
      <c r="D30" s="3"/>
      <c r="E30" s="3" t="s">
        <v>147</v>
      </c>
      <c r="F30" s="3" t="s">
        <v>178</v>
      </c>
      <c r="G30" s="3"/>
      <c r="H30" s="25">
        <v>10000</v>
      </c>
    </row>
    <row r="31" spans="1:25">
      <c r="A31" s="3"/>
      <c r="B31" s="3"/>
      <c r="C31" s="3"/>
      <c r="D31" s="3"/>
      <c r="E31" s="3" t="s">
        <v>149</v>
      </c>
      <c r="F31" s="3" t="s">
        <v>179</v>
      </c>
      <c r="G31" s="3"/>
      <c r="H31" s="25">
        <v>3500</v>
      </c>
    </row>
    <row r="32" spans="1:25">
      <c r="A32" s="3"/>
      <c r="B32" s="3"/>
      <c r="C32" s="3"/>
      <c r="D32" s="3"/>
      <c r="E32" s="3" t="s">
        <v>152</v>
      </c>
      <c r="F32" s="3" t="s">
        <v>180</v>
      </c>
      <c r="G32" s="3"/>
      <c r="H32" s="25">
        <v>30000</v>
      </c>
    </row>
    <row r="33" spans="1:9">
      <c r="A33" s="3"/>
      <c r="B33" s="3"/>
      <c r="C33" s="3"/>
      <c r="D33" s="3"/>
      <c r="E33" s="3" t="s">
        <v>155</v>
      </c>
      <c r="F33" s="3" t="s">
        <v>181</v>
      </c>
      <c r="G33" s="3"/>
      <c r="H33" s="25">
        <v>7000</v>
      </c>
      <c r="I33">
        <f>368000-286000</f>
        <v>82000</v>
      </c>
    </row>
    <row r="34" spans="1:9">
      <c r="A34" s="3"/>
      <c r="B34" s="3"/>
      <c r="C34" s="3"/>
      <c r="D34" s="3"/>
      <c r="E34" s="3" t="s">
        <v>158</v>
      </c>
      <c r="F34" s="3" t="s">
        <v>182</v>
      </c>
      <c r="G34" s="3"/>
      <c r="H34" s="25">
        <v>50000</v>
      </c>
    </row>
    <row r="35" spans="1:9">
      <c r="A35" s="3"/>
      <c r="B35" s="3"/>
      <c r="C35" s="3"/>
      <c r="D35" s="25"/>
      <c r="E35" s="3"/>
      <c r="F35" s="3"/>
      <c r="G35" s="3"/>
      <c r="H35" s="25"/>
    </row>
    <row r="36" spans="1:9">
      <c r="A36" s="3"/>
      <c r="B36" s="3"/>
      <c r="C36" s="3"/>
      <c r="D36" s="3"/>
      <c r="E36" s="3" t="s">
        <v>183</v>
      </c>
      <c r="F36" s="3" t="s">
        <v>184</v>
      </c>
      <c r="G36" s="3"/>
      <c r="H36" s="25">
        <v>82000</v>
      </c>
    </row>
    <row r="37" spans="1:9">
      <c r="A37" s="3"/>
      <c r="B37" s="3"/>
      <c r="C37" s="3"/>
      <c r="D37" s="26">
        <f>SUM(D21:D24)</f>
        <v>368000</v>
      </c>
      <c r="E37" s="3"/>
      <c r="F37" s="3"/>
      <c r="G37" s="3"/>
      <c r="H37" s="26">
        <f>SUM(H21:H36)</f>
        <v>368500</v>
      </c>
    </row>
    <row r="38" spans="1:9">
      <c r="A38" s="3" t="s">
        <v>185</v>
      </c>
      <c r="B38" s="3" t="s">
        <v>186</v>
      </c>
      <c r="C38" s="3"/>
      <c r="D38" s="25">
        <v>82000</v>
      </c>
      <c r="E38" s="3"/>
      <c r="F38" s="3"/>
      <c r="G38" s="3"/>
      <c r="H38" s="3"/>
    </row>
    <row r="39" spans="1:9">
      <c r="A39" s="3"/>
      <c r="B39" s="3"/>
      <c r="C39" s="3"/>
      <c r="D39" s="3"/>
      <c r="E39" s="3"/>
      <c r="F39" s="3"/>
      <c r="G39" s="3"/>
      <c r="H39" s="3"/>
    </row>
    <row r="41" spans="1:9" ht="15.5">
      <c r="A41" s="39" t="s">
        <v>187</v>
      </c>
      <c r="B41" s="39"/>
      <c r="C41" s="39"/>
      <c r="D41" s="39"/>
      <c r="E41" s="39"/>
      <c r="F41" s="39"/>
      <c r="G41" s="39"/>
      <c r="H41" s="39"/>
    </row>
    <row r="42" spans="1:9">
      <c r="A42" s="24" t="s">
        <v>32</v>
      </c>
      <c r="B42" s="24" t="s">
        <v>18</v>
      </c>
      <c r="C42" s="24" t="s">
        <v>162</v>
      </c>
      <c r="D42" s="24" t="s">
        <v>160</v>
      </c>
      <c r="E42" s="24" t="s">
        <v>32</v>
      </c>
      <c r="F42" s="24" t="s">
        <v>18</v>
      </c>
      <c r="G42" s="24" t="s">
        <v>162</v>
      </c>
      <c r="H42" s="24" t="s">
        <v>160</v>
      </c>
    </row>
    <row r="43" spans="1:9">
      <c r="A43" s="3" t="s">
        <v>76</v>
      </c>
      <c r="B43" s="3" t="s">
        <v>188</v>
      </c>
      <c r="C43" s="3"/>
      <c r="D43" s="25">
        <v>140000</v>
      </c>
      <c r="E43" s="3" t="s">
        <v>183</v>
      </c>
      <c r="F43" s="3" t="s">
        <v>184</v>
      </c>
      <c r="G43" s="3"/>
      <c r="H43" s="25">
        <v>320000</v>
      </c>
    </row>
    <row r="44" spans="1:9">
      <c r="A44" s="3" t="s">
        <v>81</v>
      </c>
      <c r="B44" s="3" t="s">
        <v>189</v>
      </c>
      <c r="C44" s="3"/>
      <c r="D44" s="25">
        <v>50000</v>
      </c>
      <c r="E44" s="3"/>
      <c r="F44" s="3"/>
      <c r="G44" s="3"/>
      <c r="H44" s="3"/>
    </row>
    <row r="45" spans="1:9">
      <c r="A45" s="3" t="s">
        <v>119</v>
      </c>
      <c r="B45" s="3" t="s">
        <v>190</v>
      </c>
      <c r="C45" s="3"/>
      <c r="D45" s="25">
        <v>95000</v>
      </c>
      <c r="E45" s="3"/>
      <c r="F45" s="3"/>
      <c r="G45" s="3"/>
      <c r="H45" s="3"/>
    </row>
    <row r="46" spans="1:9">
      <c r="A46" s="3" t="s">
        <v>146</v>
      </c>
      <c r="B46" s="3" t="s">
        <v>189</v>
      </c>
      <c r="C46" s="3"/>
      <c r="D46" s="25">
        <v>35000</v>
      </c>
      <c r="E46" s="3"/>
      <c r="F46" s="3"/>
      <c r="G46" s="3"/>
      <c r="H46" s="3"/>
    </row>
    <row r="47" spans="1:9">
      <c r="A47" s="3"/>
      <c r="B47" s="3"/>
      <c r="C47" s="3"/>
      <c r="D47" s="3"/>
      <c r="E47" s="3"/>
      <c r="F47" s="3"/>
      <c r="G47" s="3"/>
      <c r="H47" s="3"/>
    </row>
    <row r="48" spans="1:9">
      <c r="A48" s="3"/>
      <c r="B48" s="3"/>
      <c r="C48" s="3"/>
      <c r="D48" s="26">
        <f>SUM(D43:D46)</f>
        <v>320000</v>
      </c>
      <c r="E48" s="3"/>
      <c r="F48" s="3"/>
      <c r="G48" s="3"/>
      <c r="H48" s="26">
        <f>SUM(H43:H47)</f>
        <v>320000</v>
      </c>
    </row>
    <row r="49" spans="1:8">
      <c r="A49" s="3" t="s">
        <v>185</v>
      </c>
      <c r="B49" s="3" t="s">
        <v>186</v>
      </c>
      <c r="C49" s="3"/>
      <c r="D49" s="25">
        <v>320000</v>
      </c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2" spans="1:8" ht="15.5">
      <c r="A52" s="39" t="s">
        <v>191</v>
      </c>
      <c r="B52" s="39"/>
      <c r="C52" s="39"/>
      <c r="D52" s="39"/>
      <c r="E52" s="39"/>
      <c r="F52" s="39"/>
      <c r="G52" s="39"/>
      <c r="H52" s="39"/>
    </row>
    <row r="53" spans="1:8">
      <c r="A53" s="24" t="s">
        <v>32</v>
      </c>
      <c r="B53" s="24" t="s">
        <v>18</v>
      </c>
      <c r="C53" s="24" t="s">
        <v>162</v>
      </c>
      <c r="D53" s="24" t="s">
        <v>160</v>
      </c>
      <c r="E53" s="24" t="s">
        <v>32</v>
      </c>
      <c r="F53" s="24" t="s">
        <v>18</v>
      </c>
      <c r="G53" s="24" t="s">
        <v>162</v>
      </c>
      <c r="H53" s="24" t="s">
        <v>160</v>
      </c>
    </row>
    <row r="54" spans="1:8">
      <c r="A54" s="3" t="s">
        <v>96</v>
      </c>
      <c r="B54" s="3" t="s">
        <v>192</v>
      </c>
      <c r="C54" s="3"/>
      <c r="D54" s="25">
        <v>15000</v>
      </c>
      <c r="E54" s="3" t="s">
        <v>76</v>
      </c>
      <c r="F54" s="3" t="s">
        <v>165</v>
      </c>
      <c r="G54" s="3"/>
      <c r="H54" s="25">
        <v>140000</v>
      </c>
    </row>
    <row r="55" spans="1:8">
      <c r="A55" s="3" t="s">
        <v>112</v>
      </c>
      <c r="B55" s="11" t="s">
        <v>113</v>
      </c>
      <c r="C55" s="3"/>
      <c r="D55" s="25">
        <v>10000</v>
      </c>
      <c r="E55" s="3" t="s">
        <v>193</v>
      </c>
      <c r="F55" s="3" t="s">
        <v>194</v>
      </c>
      <c r="G55" s="3"/>
      <c r="H55" s="25">
        <v>65000</v>
      </c>
    </row>
    <row r="56" spans="1:8">
      <c r="A56" s="3" t="s">
        <v>112</v>
      </c>
      <c r="B56" s="11" t="s">
        <v>114</v>
      </c>
      <c r="C56" s="3"/>
      <c r="D56" s="25">
        <v>180000</v>
      </c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>
      <c r="A58" s="3"/>
      <c r="B58" s="3"/>
      <c r="C58" s="3"/>
      <c r="D58" s="26">
        <f>SUM(D54:D57)</f>
        <v>205000</v>
      </c>
      <c r="E58" s="3"/>
      <c r="F58" s="3"/>
      <c r="G58" s="3"/>
      <c r="H58" s="26">
        <f>SUM(H54:H56)</f>
        <v>205000</v>
      </c>
    </row>
    <row r="59" spans="1:8">
      <c r="A59" s="3" t="s">
        <v>200</v>
      </c>
      <c r="B59" s="3" t="s">
        <v>186</v>
      </c>
      <c r="C59" s="3"/>
      <c r="D59" s="25">
        <v>65000</v>
      </c>
      <c r="E59" s="3"/>
      <c r="F59" s="3"/>
      <c r="G59" s="3"/>
      <c r="H59" s="3"/>
    </row>
    <row r="61" spans="1:8" ht="15.5">
      <c r="A61" s="39" t="s">
        <v>195</v>
      </c>
      <c r="B61" s="39"/>
      <c r="C61" s="39"/>
      <c r="D61" s="39"/>
      <c r="E61" s="39"/>
      <c r="F61" s="39"/>
      <c r="G61" s="39"/>
      <c r="H61" s="39"/>
    </row>
    <row r="62" spans="1:8">
      <c r="A62" s="24" t="s">
        <v>32</v>
      </c>
      <c r="B62" s="24" t="s">
        <v>18</v>
      </c>
      <c r="C62" s="24" t="s">
        <v>162</v>
      </c>
      <c r="D62" s="24" t="s">
        <v>160</v>
      </c>
      <c r="E62" s="24" t="s">
        <v>32</v>
      </c>
      <c r="F62" s="24" t="s">
        <v>18</v>
      </c>
      <c r="G62" s="24" t="s">
        <v>162</v>
      </c>
      <c r="H62" s="24" t="s">
        <v>160</v>
      </c>
    </row>
    <row r="63" spans="1:8">
      <c r="A63" s="3" t="s">
        <v>83</v>
      </c>
      <c r="B63" s="3" t="s">
        <v>166</v>
      </c>
      <c r="C63" s="3"/>
      <c r="D63" s="25">
        <v>210000</v>
      </c>
      <c r="E63" s="3" t="s">
        <v>100</v>
      </c>
      <c r="F63" s="3" t="s">
        <v>196</v>
      </c>
      <c r="G63" s="3"/>
      <c r="H63" s="25">
        <v>12000</v>
      </c>
    </row>
    <row r="64" spans="1:8">
      <c r="A64" s="3"/>
      <c r="B64" s="3"/>
      <c r="C64" s="3"/>
      <c r="D64" s="3"/>
      <c r="E64" s="3" t="s">
        <v>109</v>
      </c>
      <c r="F64" s="11" t="s">
        <v>197</v>
      </c>
      <c r="G64" s="3"/>
      <c r="H64" s="25">
        <v>242000</v>
      </c>
    </row>
    <row r="65" spans="1:8">
      <c r="A65" s="3" t="s">
        <v>183</v>
      </c>
      <c r="B65" s="3" t="s">
        <v>194</v>
      </c>
      <c r="C65" s="3"/>
      <c r="D65" s="25">
        <v>52000</v>
      </c>
      <c r="E65" s="3" t="s">
        <v>109</v>
      </c>
      <c r="F65" s="11" t="s">
        <v>198</v>
      </c>
      <c r="G65" s="3"/>
      <c r="H65" s="25">
        <v>8000</v>
      </c>
    </row>
    <row r="66" spans="1:8">
      <c r="A66" s="3"/>
      <c r="B66" s="3"/>
      <c r="C66" s="3"/>
      <c r="D66" s="3"/>
      <c r="E66" s="3"/>
      <c r="F66" s="3"/>
      <c r="G66" s="3"/>
      <c r="H66" s="3"/>
    </row>
    <row r="67" spans="1:8">
      <c r="A67" s="3"/>
      <c r="B67" s="3"/>
      <c r="C67" s="3"/>
      <c r="D67" s="26">
        <f>SUM(D63:D65)</f>
        <v>262000</v>
      </c>
      <c r="E67" s="3"/>
      <c r="F67" s="3"/>
      <c r="G67" s="3"/>
      <c r="H67" s="26">
        <f>SUM(H63:H65)</f>
        <v>262000</v>
      </c>
    </row>
    <row r="68" spans="1:8">
      <c r="A68" s="3"/>
      <c r="B68" s="3"/>
      <c r="C68" s="3"/>
      <c r="D68" s="3"/>
      <c r="E68" s="3" t="s">
        <v>185</v>
      </c>
      <c r="F68" s="3" t="s">
        <v>201</v>
      </c>
      <c r="G68" s="3"/>
      <c r="H68" s="25">
        <v>52000</v>
      </c>
    </row>
    <row r="69" spans="1:8">
      <c r="A69" s="3"/>
      <c r="B69" s="3"/>
      <c r="C69" s="3"/>
      <c r="D69" s="3"/>
      <c r="E69" s="3"/>
      <c r="F69" s="3"/>
      <c r="G69" s="3"/>
      <c r="H69" s="3"/>
    </row>
    <row r="71" spans="1:8" ht="15.5">
      <c r="A71" s="39" t="s">
        <v>202</v>
      </c>
      <c r="B71" s="39"/>
      <c r="C71" s="39"/>
      <c r="D71" s="39"/>
      <c r="E71" s="39"/>
      <c r="F71" s="39"/>
      <c r="G71" s="39"/>
      <c r="H71" s="39"/>
    </row>
    <row r="72" spans="1:8">
      <c r="A72" s="24" t="s">
        <v>32</v>
      </c>
      <c r="B72" s="24" t="s">
        <v>18</v>
      </c>
      <c r="C72" s="24" t="s">
        <v>162</v>
      </c>
      <c r="D72" s="24" t="s">
        <v>160</v>
      </c>
      <c r="E72" s="24" t="s">
        <v>32</v>
      </c>
      <c r="F72" s="24" t="s">
        <v>18</v>
      </c>
      <c r="G72" s="24" t="s">
        <v>162</v>
      </c>
      <c r="H72" s="24" t="s">
        <v>160</v>
      </c>
    </row>
    <row r="73" spans="1:8">
      <c r="A73" s="3" t="s">
        <v>183</v>
      </c>
      <c r="B73" s="3" t="s">
        <v>194</v>
      </c>
      <c r="C73" s="3"/>
      <c r="D73" s="25">
        <v>440000</v>
      </c>
      <c r="E73" s="3" t="s">
        <v>83</v>
      </c>
      <c r="F73" s="3" t="s">
        <v>203</v>
      </c>
      <c r="G73" s="3"/>
      <c r="H73" s="25">
        <v>210000</v>
      </c>
    </row>
    <row r="74" spans="1:8">
      <c r="A74" s="3"/>
      <c r="B74" s="3"/>
      <c r="C74" s="3"/>
      <c r="D74" s="3"/>
      <c r="E74" s="3" t="s">
        <v>88</v>
      </c>
      <c r="F74" s="3" t="s">
        <v>204</v>
      </c>
      <c r="G74" s="3"/>
      <c r="H74" s="25">
        <v>90000</v>
      </c>
    </row>
    <row r="75" spans="1:8">
      <c r="A75" s="3"/>
      <c r="B75" s="3"/>
      <c r="C75" s="3"/>
      <c r="D75" s="3"/>
      <c r="E75" s="3" t="s">
        <v>121</v>
      </c>
      <c r="F75" s="3" t="s">
        <v>205</v>
      </c>
      <c r="G75" s="3"/>
      <c r="H75" s="25">
        <v>140000</v>
      </c>
    </row>
    <row r="76" spans="1:8">
      <c r="A76" s="3"/>
      <c r="B76" s="3"/>
      <c r="C76" s="3"/>
      <c r="D76" s="3"/>
      <c r="E76" s="3"/>
      <c r="F76" s="3"/>
      <c r="G76" s="3"/>
      <c r="H76" s="3"/>
    </row>
    <row r="77" spans="1:8">
      <c r="A77" s="3"/>
      <c r="B77" s="3"/>
      <c r="C77" s="3"/>
      <c r="D77" s="26">
        <f>SUM(D73:D76)</f>
        <v>440000</v>
      </c>
      <c r="E77" s="3"/>
      <c r="F77" s="3"/>
      <c r="G77" s="3"/>
      <c r="H77" s="26">
        <f>SUM(H73:H75)</f>
        <v>440000</v>
      </c>
    </row>
    <row r="78" spans="1:8">
      <c r="A78" s="3"/>
      <c r="B78" s="3"/>
      <c r="C78" s="3"/>
      <c r="D78" s="3"/>
      <c r="E78" s="3" t="s">
        <v>185</v>
      </c>
      <c r="F78" s="3" t="s">
        <v>201</v>
      </c>
      <c r="G78" s="3"/>
      <c r="H78" s="25">
        <v>440000</v>
      </c>
    </row>
    <row r="79" spans="1:8">
      <c r="A79" s="3"/>
      <c r="B79" s="3"/>
      <c r="C79" s="3"/>
      <c r="D79" s="3"/>
      <c r="E79" s="3"/>
      <c r="F79" s="3"/>
      <c r="G79" s="3"/>
      <c r="H79" s="3"/>
    </row>
    <row r="81" spans="1:8" ht="15.5">
      <c r="A81" s="39" t="s">
        <v>206</v>
      </c>
      <c r="B81" s="39"/>
      <c r="C81" s="39"/>
      <c r="D81" s="39"/>
      <c r="E81" s="39"/>
      <c r="F81" s="39"/>
      <c r="G81" s="39"/>
      <c r="H81" s="39"/>
    </row>
    <row r="82" spans="1:8">
      <c r="A82" s="24" t="s">
        <v>32</v>
      </c>
      <c r="B82" s="24" t="s">
        <v>18</v>
      </c>
      <c r="C82" s="24" t="s">
        <v>162</v>
      </c>
      <c r="D82" s="24" t="s">
        <v>160</v>
      </c>
      <c r="E82" s="24" t="s">
        <v>32</v>
      </c>
      <c r="F82" s="24" t="s">
        <v>18</v>
      </c>
      <c r="G82" s="24" t="s">
        <v>162</v>
      </c>
      <c r="H82" s="24" t="s">
        <v>160</v>
      </c>
    </row>
    <row r="83" spans="1:8">
      <c r="A83" s="3" t="s">
        <v>91</v>
      </c>
      <c r="B83" s="3" t="s">
        <v>189</v>
      </c>
      <c r="C83" s="3"/>
      <c r="D83" s="25">
        <v>6000</v>
      </c>
      <c r="E83" s="3" t="s">
        <v>183</v>
      </c>
      <c r="F83" s="3" t="s">
        <v>184</v>
      </c>
      <c r="G83" s="3"/>
      <c r="H83" s="25">
        <v>6000</v>
      </c>
    </row>
    <row r="84" spans="1:8">
      <c r="A84" s="3"/>
      <c r="B84" s="3"/>
      <c r="C84" s="3"/>
      <c r="D84" s="3"/>
      <c r="E84" s="3"/>
      <c r="F84" s="3"/>
      <c r="G84" s="3"/>
      <c r="H84" s="3"/>
    </row>
    <row r="85" spans="1:8">
      <c r="A85" s="3"/>
      <c r="B85" s="3"/>
      <c r="C85" s="3"/>
      <c r="D85" s="26">
        <f>SUM(D83:D84)</f>
        <v>6000</v>
      </c>
      <c r="E85" s="3"/>
      <c r="F85" s="3"/>
      <c r="G85" s="3"/>
      <c r="H85" s="26">
        <f>SUM(H83:H84)</f>
        <v>6000</v>
      </c>
    </row>
    <row r="86" spans="1:8">
      <c r="A86" s="3" t="s">
        <v>185</v>
      </c>
      <c r="B86" s="3" t="s">
        <v>186</v>
      </c>
      <c r="C86" s="3"/>
      <c r="D86" s="25">
        <v>6000</v>
      </c>
      <c r="E86" s="3"/>
      <c r="F86" s="3"/>
      <c r="G86" s="3"/>
      <c r="H86" s="3"/>
    </row>
    <row r="87" spans="1:8">
      <c r="A87" s="3"/>
      <c r="B87" s="3"/>
      <c r="C87" s="3"/>
      <c r="D87" s="3"/>
      <c r="E87" s="3"/>
      <c r="F87" s="3"/>
      <c r="G87" s="3"/>
      <c r="H87" s="3"/>
    </row>
    <row r="89" spans="1:8" ht="15.5">
      <c r="A89" s="39" t="s">
        <v>207</v>
      </c>
      <c r="B89" s="39"/>
      <c r="C89" s="39"/>
      <c r="D89" s="39"/>
      <c r="E89" s="39"/>
      <c r="F89" s="39"/>
      <c r="G89" s="39"/>
      <c r="H89" s="39"/>
    </row>
    <row r="90" spans="1:8">
      <c r="A90" s="24" t="s">
        <v>32</v>
      </c>
      <c r="B90" s="24" t="s">
        <v>18</v>
      </c>
      <c r="C90" s="24" t="s">
        <v>162</v>
      </c>
      <c r="D90" s="24" t="s">
        <v>160</v>
      </c>
      <c r="E90" s="24" t="s">
        <v>32</v>
      </c>
      <c r="F90" s="24" t="s">
        <v>18</v>
      </c>
      <c r="G90" s="24" t="s">
        <v>162</v>
      </c>
      <c r="H90" s="24" t="s">
        <v>160</v>
      </c>
    </row>
    <row r="91" spans="1:8">
      <c r="A91" s="3" t="s">
        <v>94</v>
      </c>
      <c r="B91" s="3" t="s">
        <v>189</v>
      </c>
      <c r="C91" s="3"/>
      <c r="D91" s="25">
        <v>18000</v>
      </c>
      <c r="E91" s="3" t="s">
        <v>183</v>
      </c>
      <c r="F91" s="3" t="s">
        <v>184</v>
      </c>
      <c r="G91" s="3"/>
      <c r="H91" s="25">
        <v>18000</v>
      </c>
    </row>
    <row r="92" spans="1:8">
      <c r="A92" s="3"/>
      <c r="B92" s="3"/>
      <c r="C92" s="3"/>
      <c r="D92" s="3"/>
      <c r="E92" s="3"/>
      <c r="F92" s="3"/>
      <c r="G92" s="3"/>
      <c r="H92" s="3"/>
    </row>
    <row r="93" spans="1:8">
      <c r="A93" s="3"/>
      <c r="B93" s="3"/>
      <c r="C93" s="3"/>
      <c r="D93" s="26">
        <f>SUM(D91:D92)</f>
        <v>18000</v>
      </c>
      <c r="E93" s="3"/>
      <c r="F93" s="3"/>
      <c r="G93" s="3"/>
      <c r="H93" s="26">
        <f>SUM(H91:H92)</f>
        <v>18000</v>
      </c>
    </row>
    <row r="94" spans="1:8">
      <c r="A94" s="3" t="s">
        <v>185</v>
      </c>
      <c r="B94" s="3" t="s">
        <v>186</v>
      </c>
      <c r="C94" s="3"/>
      <c r="D94" s="25">
        <v>18000</v>
      </c>
      <c r="E94" s="3"/>
      <c r="F94" s="3"/>
      <c r="G94" s="3"/>
      <c r="H94" s="3"/>
    </row>
    <row r="95" spans="1:8">
      <c r="A95" s="3"/>
      <c r="B95" s="3"/>
      <c r="C95" s="3"/>
      <c r="D95" s="3"/>
      <c r="E95" s="3"/>
      <c r="F95" s="3"/>
      <c r="G95" s="3"/>
      <c r="H95" s="3"/>
    </row>
    <row r="97" spans="1:8" ht="15.5">
      <c r="A97" s="39" t="s">
        <v>208</v>
      </c>
      <c r="B97" s="39"/>
      <c r="C97" s="39"/>
      <c r="D97" s="39"/>
      <c r="E97" s="39"/>
      <c r="F97" s="39"/>
      <c r="G97" s="39"/>
      <c r="H97" s="39"/>
    </row>
    <row r="98" spans="1:8">
      <c r="A98" s="24" t="s">
        <v>32</v>
      </c>
      <c r="B98" s="24" t="s">
        <v>18</v>
      </c>
      <c r="C98" s="24" t="s">
        <v>162</v>
      </c>
      <c r="D98" s="24" t="s">
        <v>160</v>
      </c>
      <c r="E98" s="24" t="s">
        <v>32</v>
      </c>
      <c r="F98" s="24" t="s">
        <v>18</v>
      </c>
      <c r="G98" s="24" t="s">
        <v>162</v>
      </c>
      <c r="H98" s="24" t="s">
        <v>160</v>
      </c>
    </row>
    <row r="99" spans="1:8">
      <c r="A99" s="3" t="s">
        <v>183</v>
      </c>
      <c r="B99" s="3" t="s">
        <v>194</v>
      </c>
      <c r="C99" s="3"/>
      <c r="D99" s="25">
        <v>15000</v>
      </c>
      <c r="E99" s="3" t="s">
        <v>96</v>
      </c>
      <c r="F99" s="3" t="s">
        <v>209</v>
      </c>
      <c r="G99" s="3"/>
      <c r="H99" s="25">
        <v>15000</v>
      </c>
    </row>
    <row r="100" spans="1:8">
      <c r="A100" s="3"/>
      <c r="B100" s="3"/>
      <c r="C100" s="3"/>
      <c r="D100" s="3"/>
      <c r="E100" s="3"/>
      <c r="F100" s="3"/>
      <c r="G100" s="3"/>
      <c r="H100" s="3"/>
    </row>
    <row r="101" spans="1:8">
      <c r="A101" s="3"/>
      <c r="B101" s="3"/>
      <c r="C101" s="3"/>
      <c r="D101" s="26">
        <f>SUM(D99:D100)</f>
        <v>15000</v>
      </c>
      <c r="E101" s="3"/>
      <c r="F101" s="3"/>
      <c r="G101" s="3"/>
      <c r="H101" s="26">
        <f>SUM(H99:H100)</f>
        <v>15000</v>
      </c>
    </row>
    <row r="102" spans="1:8">
      <c r="A102" s="3"/>
      <c r="B102" s="3"/>
      <c r="C102" s="3"/>
      <c r="D102" s="3"/>
      <c r="E102" s="3" t="s">
        <v>185</v>
      </c>
      <c r="F102" s="3" t="s">
        <v>201</v>
      </c>
      <c r="G102" s="3"/>
      <c r="H102" s="25">
        <v>15000</v>
      </c>
    </row>
    <row r="103" spans="1:8">
      <c r="A103" s="3"/>
      <c r="B103" s="3"/>
      <c r="C103" s="3"/>
      <c r="D103" s="3"/>
      <c r="E103" s="3"/>
      <c r="F103" s="3"/>
      <c r="G103" s="3"/>
      <c r="H103" s="3"/>
    </row>
    <row r="105" spans="1:8" ht="15.5">
      <c r="A105" s="39" t="s">
        <v>210</v>
      </c>
      <c r="B105" s="39"/>
      <c r="C105" s="39"/>
      <c r="D105" s="39"/>
      <c r="E105" s="39"/>
      <c r="F105" s="39"/>
      <c r="G105" s="39"/>
      <c r="H105" s="39"/>
    </row>
    <row r="106" spans="1:8">
      <c r="A106" s="24" t="s">
        <v>32</v>
      </c>
      <c r="B106" s="24" t="s">
        <v>18</v>
      </c>
      <c r="C106" s="24" t="s">
        <v>162</v>
      </c>
      <c r="D106" s="24" t="s">
        <v>160</v>
      </c>
      <c r="E106" s="24" t="s">
        <v>32</v>
      </c>
      <c r="F106" s="24" t="s">
        <v>18</v>
      </c>
      <c r="G106" s="24" t="s">
        <v>162</v>
      </c>
      <c r="H106" s="24" t="s">
        <v>160</v>
      </c>
    </row>
    <row r="107" spans="1:8">
      <c r="A107" s="3" t="s">
        <v>100</v>
      </c>
      <c r="B107" s="3" t="s">
        <v>170</v>
      </c>
      <c r="C107" s="3"/>
      <c r="D107" s="25">
        <v>12000</v>
      </c>
      <c r="E107" s="3" t="s">
        <v>183</v>
      </c>
      <c r="F107" s="3" t="s">
        <v>184</v>
      </c>
      <c r="G107" s="3"/>
      <c r="H107" s="25">
        <v>12000</v>
      </c>
    </row>
    <row r="108" spans="1:8">
      <c r="A108" s="3"/>
      <c r="B108" s="3"/>
      <c r="C108" s="3"/>
      <c r="D108" s="3"/>
      <c r="E108" s="3"/>
      <c r="F108" s="3"/>
      <c r="G108" s="3"/>
      <c r="H108" s="3"/>
    </row>
    <row r="109" spans="1:8">
      <c r="A109" s="3"/>
      <c r="B109" s="3"/>
      <c r="C109" s="3"/>
      <c r="D109" s="26">
        <f>SUM(D107:D108)</f>
        <v>12000</v>
      </c>
      <c r="E109" s="3"/>
      <c r="F109" s="3"/>
      <c r="G109" s="3"/>
      <c r="H109" s="3">
        <f>SUM(H107:H108)</f>
        <v>12000</v>
      </c>
    </row>
    <row r="110" spans="1:8">
      <c r="A110" s="3" t="s">
        <v>185</v>
      </c>
      <c r="B110" s="3" t="s">
        <v>186</v>
      </c>
      <c r="C110" s="3"/>
      <c r="D110" s="25">
        <v>12000</v>
      </c>
      <c r="E110" s="3"/>
      <c r="F110" s="3"/>
      <c r="G110" s="3"/>
      <c r="H110" s="3"/>
    </row>
    <row r="111" spans="1:8">
      <c r="A111" s="3"/>
      <c r="B111" s="3"/>
      <c r="C111" s="3"/>
      <c r="D111" s="3"/>
      <c r="E111" s="3"/>
      <c r="F111" s="3"/>
      <c r="G111" s="3"/>
      <c r="H111" s="3"/>
    </row>
    <row r="113" spans="1:8" ht="15.5">
      <c r="A113" s="39" t="s">
        <v>211</v>
      </c>
      <c r="B113" s="39"/>
      <c r="C113" s="39"/>
      <c r="D113" s="39"/>
      <c r="E113" s="39"/>
      <c r="F113" s="39"/>
      <c r="G113" s="39"/>
      <c r="H113" s="39"/>
    </row>
    <row r="114" spans="1:8">
      <c r="A114" s="24" t="s">
        <v>32</v>
      </c>
      <c r="B114" s="24" t="s">
        <v>18</v>
      </c>
      <c r="C114" s="24" t="s">
        <v>162</v>
      </c>
      <c r="D114" s="24" t="s">
        <v>160</v>
      </c>
      <c r="E114" s="24" t="s">
        <v>32</v>
      </c>
      <c r="F114" s="24" t="s">
        <v>18</v>
      </c>
      <c r="G114" s="24" t="s">
        <v>162</v>
      </c>
      <c r="H114" s="24" t="s">
        <v>160</v>
      </c>
    </row>
    <row r="115" spans="1:8">
      <c r="A115" s="3" t="s">
        <v>103</v>
      </c>
      <c r="B115" s="3" t="s">
        <v>212</v>
      </c>
      <c r="C115" s="3"/>
      <c r="D115" s="25">
        <v>60000</v>
      </c>
      <c r="E115" s="3" t="s">
        <v>183</v>
      </c>
      <c r="F115" s="3" t="s">
        <v>184</v>
      </c>
      <c r="G115" s="3"/>
      <c r="H115" s="25">
        <v>60000</v>
      </c>
    </row>
    <row r="116" spans="1:8">
      <c r="A116" s="3"/>
      <c r="B116" s="3"/>
      <c r="C116" s="3"/>
      <c r="D116" s="3"/>
      <c r="E116" s="3"/>
      <c r="F116" s="3"/>
      <c r="G116" s="3"/>
      <c r="H116" s="3"/>
    </row>
    <row r="117" spans="1:8">
      <c r="A117" s="3"/>
      <c r="B117" s="3"/>
      <c r="C117" s="3"/>
      <c r="D117" s="26">
        <f>SUM(D115:D116)</f>
        <v>60000</v>
      </c>
      <c r="E117" s="3"/>
      <c r="F117" s="3"/>
      <c r="G117" s="3"/>
      <c r="H117" s="25">
        <f>SUM(H115:H116)</f>
        <v>60000</v>
      </c>
    </row>
    <row r="118" spans="1:8">
      <c r="A118" s="3" t="s">
        <v>185</v>
      </c>
      <c r="B118" s="3" t="s">
        <v>213</v>
      </c>
      <c r="C118" s="3"/>
      <c r="D118" s="25">
        <v>60000</v>
      </c>
      <c r="E118" s="3"/>
      <c r="F118" s="3"/>
      <c r="G118" s="3"/>
      <c r="H118" s="3"/>
    </row>
    <row r="119" spans="1:8">
      <c r="A119" s="3"/>
      <c r="B119" s="3"/>
      <c r="C119" s="3"/>
      <c r="D119" s="3"/>
      <c r="E119" s="3"/>
      <c r="F119" s="3"/>
      <c r="G119" s="3"/>
      <c r="H119" s="3"/>
    </row>
    <row r="121" spans="1:8" ht="15.5">
      <c r="A121" s="39" t="s">
        <v>214</v>
      </c>
      <c r="B121" s="39"/>
      <c r="C121" s="39"/>
      <c r="D121" s="39"/>
      <c r="E121" s="39"/>
      <c r="F121" s="39"/>
      <c r="G121" s="39"/>
      <c r="H121" s="39"/>
    </row>
    <row r="122" spans="1:8">
      <c r="A122" s="24" t="s">
        <v>32</v>
      </c>
      <c r="B122" s="24" t="s">
        <v>18</v>
      </c>
      <c r="C122" s="24" t="s">
        <v>162</v>
      </c>
      <c r="D122" s="24" t="s">
        <v>160</v>
      </c>
      <c r="E122" s="24" t="s">
        <v>32</v>
      </c>
      <c r="F122" s="24" t="s">
        <v>18</v>
      </c>
      <c r="G122" s="24" t="s">
        <v>162</v>
      </c>
      <c r="H122" s="24" t="s">
        <v>160</v>
      </c>
    </row>
    <row r="123" spans="1:8">
      <c r="A123" s="3" t="s">
        <v>123</v>
      </c>
      <c r="B123" s="3" t="s">
        <v>216</v>
      </c>
      <c r="C123" s="3"/>
      <c r="D123" s="25">
        <v>125000</v>
      </c>
      <c r="E123" s="3" t="s">
        <v>103</v>
      </c>
      <c r="F123" s="3" t="s">
        <v>215</v>
      </c>
      <c r="G123" s="3"/>
      <c r="H123" s="25">
        <v>60000</v>
      </c>
    </row>
    <row r="124" spans="1:8">
      <c r="A124" s="3" t="s">
        <v>143</v>
      </c>
      <c r="B124" s="3" t="s">
        <v>218</v>
      </c>
      <c r="C124" s="3"/>
      <c r="D124" s="25">
        <v>4000</v>
      </c>
      <c r="E124" s="3" t="s">
        <v>112</v>
      </c>
      <c r="F124" s="3" t="s">
        <v>209</v>
      </c>
      <c r="G124" s="3"/>
      <c r="H124" s="25">
        <v>180000</v>
      </c>
    </row>
    <row r="125" spans="1:8">
      <c r="A125" s="3" t="s">
        <v>158</v>
      </c>
      <c r="B125" s="3" t="s">
        <v>219</v>
      </c>
      <c r="C125" s="3"/>
      <c r="D125" s="25">
        <v>50000</v>
      </c>
      <c r="E125" s="3" t="s">
        <v>133</v>
      </c>
      <c r="F125" s="3" t="s">
        <v>204</v>
      </c>
      <c r="G125" s="3"/>
      <c r="H125" s="25">
        <v>25000</v>
      </c>
    </row>
    <row r="126" spans="1:8">
      <c r="A126" s="3"/>
      <c r="B126" s="3"/>
      <c r="C126" s="3"/>
      <c r="D126" s="3"/>
      <c r="E126" s="3" t="s">
        <v>138</v>
      </c>
      <c r="F126" s="3" t="s">
        <v>217</v>
      </c>
      <c r="G126" s="3"/>
      <c r="H126" s="25">
        <v>8000</v>
      </c>
    </row>
    <row r="127" spans="1:8">
      <c r="A127" s="3" t="s">
        <v>183</v>
      </c>
      <c r="B127" s="3" t="s">
        <v>194</v>
      </c>
      <c r="C127" s="3"/>
      <c r="D127" s="25">
        <v>94000</v>
      </c>
      <c r="E127" s="3"/>
      <c r="F127" s="3"/>
      <c r="G127" s="3"/>
      <c r="H127" s="3"/>
    </row>
    <row r="128" spans="1:8">
      <c r="A128" s="3"/>
      <c r="B128" s="3"/>
      <c r="C128" s="3"/>
      <c r="D128" s="26">
        <f>SUM(D123:D127)</f>
        <v>273000</v>
      </c>
      <c r="E128" s="3"/>
      <c r="F128" s="3"/>
      <c r="G128" s="3"/>
      <c r="H128" s="26">
        <f>SUM(H123:H126)</f>
        <v>273000</v>
      </c>
    </row>
    <row r="129" spans="1:8">
      <c r="A129" s="3"/>
      <c r="B129" s="3"/>
      <c r="C129" s="3"/>
      <c r="D129" s="3"/>
      <c r="E129" s="3" t="s">
        <v>185</v>
      </c>
      <c r="F129" s="3" t="s">
        <v>201</v>
      </c>
      <c r="G129" s="3"/>
      <c r="H129" s="25">
        <v>94000</v>
      </c>
    </row>
    <row r="130" spans="1:8">
      <c r="A130" s="3"/>
      <c r="B130" s="3"/>
      <c r="C130" s="3"/>
      <c r="D130" s="3"/>
      <c r="E130" s="3"/>
      <c r="F130" s="3"/>
      <c r="G130" s="3"/>
      <c r="H130" s="3"/>
    </row>
  </sheetData>
  <mergeCells count="13">
    <mergeCell ref="A121:H121"/>
    <mergeCell ref="A1:H1"/>
    <mergeCell ref="A19:H19"/>
    <mergeCell ref="A41:H41"/>
    <mergeCell ref="A52:H52"/>
    <mergeCell ref="A61:H61"/>
    <mergeCell ref="A71:H71"/>
    <mergeCell ref="A2:H2"/>
    <mergeCell ref="A81:H81"/>
    <mergeCell ref="A89:H89"/>
    <mergeCell ref="A97:H97"/>
    <mergeCell ref="A105:H105"/>
    <mergeCell ref="A113:H1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G28" sqref="G28"/>
    </sheetView>
  </sheetViews>
  <sheetFormatPr defaultRowHeight="14"/>
  <cols>
    <col min="2" max="2" width="27.25" customWidth="1"/>
    <col min="3" max="4" width="10.75" customWidth="1"/>
  </cols>
  <sheetData>
    <row r="1" spans="1:4">
      <c r="A1" s="58" t="s">
        <v>269</v>
      </c>
      <c r="B1" s="59"/>
      <c r="C1" s="59"/>
      <c r="D1" s="59"/>
    </row>
    <row r="2" spans="1:4">
      <c r="A2" s="60"/>
      <c r="B2" s="60"/>
      <c r="C2" s="60"/>
      <c r="D2" s="60"/>
    </row>
    <row r="3" spans="1:4">
      <c r="A3" s="4" t="s">
        <v>243</v>
      </c>
      <c r="B3" s="4" t="s">
        <v>18</v>
      </c>
      <c r="C3" s="4" t="s">
        <v>74</v>
      </c>
      <c r="D3" s="4" t="s">
        <v>75</v>
      </c>
    </row>
    <row r="4" spans="1:4">
      <c r="A4" s="61">
        <v>1</v>
      </c>
      <c r="B4" s="62" t="s">
        <v>220</v>
      </c>
      <c r="C4" s="63">
        <v>144500</v>
      </c>
      <c r="D4" s="62"/>
    </row>
    <row r="5" spans="1:4">
      <c r="A5" s="61">
        <v>2</v>
      </c>
      <c r="B5" s="62" t="s">
        <v>221</v>
      </c>
      <c r="C5" s="63">
        <v>56000</v>
      </c>
      <c r="D5" s="62"/>
    </row>
    <row r="6" spans="1:4">
      <c r="A6" s="61">
        <v>3</v>
      </c>
      <c r="B6" s="62" t="s">
        <v>244</v>
      </c>
      <c r="C6" s="63">
        <v>320000</v>
      </c>
      <c r="D6" s="62"/>
    </row>
    <row r="7" spans="1:4">
      <c r="A7" s="61">
        <v>4</v>
      </c>
      <c r="B7" s="62" t="s">
        <v>245</v>
      </c>
      <c r="C7" s="62"/>
      <c r="D7" s="63">
        <v>25000</v>
      </c>
    </row>
    <row r="8" spans="1:4">
      <c r="A8" s="61">
        <v>5</v>
      </c>
      <c r="B8" s="62" t="s">
        <v>240</v>
      </c>
      <c r="C8" s="63">
        <v>25000</v>
      </c>
      <c r="D8" s="62"/>
    </row>
    <row r="9" spans="1:4">
      <c r="A9" s="61">
        <v>6</v>
      </c>
      <c r="B9" s="62" t="s">
        <v>246</v>
      </c>
      <c r="C9" s="62"/>
      <c r="D9" s="63">
        <v>440000</v>
      </c>
    </row>
    <row r="10" spans="1:4">
      <c r="A10" s="61">
        <v>7</v>
      </c>
      <c r="B10" s="62" t="s">
        <v>247</v>
      </c>
      <c r="C10" s="63">
        <v>6000</v>
      </c>
      <c r="D10" s="62"/>
    </row>
    <row r="11" spans="1:4">
      <c r="A11" s="61">
        <v>8</v>
      </c>
      <c r="B11" s="62" t="s">
        <v>248</v>
      </c>
      <c r="C11" s="63">
        <v>18000</v>
      </c>
      <c r="D11" s="62"/>
    </row>
    <row r="12" spans="1:4">
      <c r="A12" s="61">
        <v>9</v>
      </c>
      <c r="B12" s="62" t="s">
        <v>249</v>
      </c>
      <c r="C12" s="62"/>
      <c r="D12" s="63">
        <v>15000</v>
      </c>
    </row>
    <row r="13" spans="1:4">
      <c r="A13" s="61">
        <v>10</v>
      </c>
      <c r="B13" s="62" t="s">
        <v>250</v>
      </c>
      <c r="C13" s="63">
        <v>12000</v>
      </c>
      <c r="D13" s="62"/>
    </row>
    <row r="14" spans="1:4">
      <c r="A14" s="61">
        <v>11</v>
      </c>
      <c r="B14" s="62" t="s">
        <v>251</v>
      </c>
      <c r="C14" s="63">
        <v>60000</v>
      </c>
      <c r="D14" s="62"/>
    </row>
    <row r="15" spans="1:4">
      <c r="A15" s="61">
        <v>12</v>
      </c>
      <c r="B15" s="62" t="s">
        <v>252</v>
      </c>
      <c r="C15" s="63">
        <v>28000</v>
      </c>
      <c r="D15" s="62"/>
    </row>
    <row r="16" spans="1:4">
      <c r="A16" s="61">
        <v>13</v>
      </c>
      <c r="B16" s="62" t="s">
        <v>253</v>
      </c>
      <c r="C16" s="63">
        <v>8000</v>
      </c>
      <c r="D16" s="62"/>
    </row>
    <row r="17" spans="1:4">
      <c r="A17" s="61">
        <v>14</v>
      </c>
      <c r="B17" s="62" t="s">
        <v>254</v>
      </c>
      <c r="C17" s="62"/>
      <c r="D17" s="63">
        <v>10000</v>
      </c>
    </row>
    <row r="18" spans="1:4">
      <c r="A18" s="61">
        <v>15</v>
      </c>
      <c r="B18" s="62" t="s">
        <v>255</v>
      </c>
      <c r="C18" s="63">
        <v>22000</v>
      </c>
      <c r="D18" s="62"/>
    </row>
    <row r="19" spans="1:4">
      <c r="A19" s="61">
        <v>16</v>
      </c>
      <c r="B19" s="62" t="s">
        <v>256</v>
      </c>
      <c r="C19" s="62"/>
      <c r="D19" s="63">
        <v>150000</v>
      </c>
    </row>
    <row r="20" spans="1:4">
      <c r="A20" s="61">
        <v>17</v>
      </c>
      <c r="B20" s="62" t="s">
        <v>241</v>
      </c>
      <c r="C20" s="63">
        <v>75000</v>
      </c>
      <c r="D20" s="62"/>
    </row>
    <row r="21" spans="1:4">
      <c r="A21" s="61">
        <v>18</v>
      </c>
      <c r="B21" s="62" t="s">
        <v>257</v>
      </c>
      <c r="C21" s="63">
        <v>7000</v>
      </c>
      <c r="D21" s="62"/>
    </row>
    <row r="22" spans="1:4">
      <c r="A22" s="61">
        <v>19</v>
      </c>
      <c r="B22" s="62" t="s">
        <v>258</v>
      </c>
      <c r="C22" s="62"/>
      <c r="D22" s="63">
        <v>11000</v>
      </c>
    </row>
    <row r="23" spans="1:4">
      <c r="A23" s="61">
        <v>20</v>
      </c>
      <c r="B23" s="62" t="s">
        <v>259</v>
      </c>
      <c r="C23" s="62"/>
      <c r="D23" s="63">
        <v>905000</v>
      </c>
    </row>
    <row r="24" spans="1:4">
      <c r="A24" s="61">
        <v>21</v>
      </c>
      <c r="B24" s="62" t="s">
        <v>260</v>
      </c>
      <c r="C24" s="63">
        <v>15000</v>
      </c>
      <c r="D24" s="62"/>
    </row>
    <row r="25" spans="1:4">
      <c r="A25" s="61">
        <v>22</v>
      </c>
      <c r="B25" s="62" t="s">
        <v>261</v>
      </c>
      <c r="C25" s="63">
        <v>8000</v>
      </c>
      <c r="D25" s="62"/>
    </row>
    <row r="26" spans="1:4">
      <c r="A26" s="61">
        <v>23</v>
      </c>
      <c r="B26" s="62" t="s">
        <v>262</v>
      </c>
      <c r="C26" s="63">
        <v>5000</v>
      </c>
      <c r="D26" s="62"/>
    </row>
    <row r="27" spans="1:4">
      <c r="A27" s="61">
        <v>24</v>
      </c>
      <c r="B27" s="62" t="s">
        <v>263</v>
      </c>
      <c r="C27" s="62"/>
      <c r="D27" s="63">
        <v>4000</v>
      </c>
    </row>
    <row r="28" spans="1:4">
      <c r="A28" s="61">
        <v>25</v>
      </c>
      <c r="B28" s="62" t="s">
        <v>264</v>
      </c>
      <c r="C28" s="63">
        <v>10000</v>
      </c>
      <c r="D28" s="62"/>
    </row>
    <row r="29" spans="1:4">
      <c r="A29" s="61">
        <v>26</v>
      </c>
      <c r="B29" s="62" t="s">
        <v>265</v>
      </c>
      <c r="C29" s="63">
        <v>3500</v>
      </c>
      <c r="D29" s="62"/>
    </row>
    <row r="30" spans="1:4">
      <c r="A30" s="61">
        <v>27</v>
      </c>
      <c r="B30" s="62" t="s">
        <v>223</v>
      </c>
      <c r="C30" s="63">
        <v>110000</v>
      </c>
      <c r="D30" s="62"/>
    </row>
    <row r="31" spans="1:4">
      <c r="A31" s="61">
        <v>28</v>
      </c>
      <c r="B31" s="62" t="s">
        <v>266</v>
      </c>
      <c r="C31" s="63">
        <v>7000</v>
      </c>
      <c r="D31" s="62"/>
    </row>
    <row r="32" spans="1:4">
      <c r="A32" s="61">
        <v>29</v>
      </c>
      <c r="B32" s="62" t="s">
        <v>225</v>
      </c>
      <c r="C32" s="63">
        <v>250000</v>
      </c>
      <c r="D32" s="62"/>
    </row>
    <row r="33" spans="1:4">
      <c r="A33" s="61">
        <v>30</v>
      </c>
      <c r="B33" s="62" t="s">
        <v>237</v>
      </c>
      <c r="C33" s="63">
        <v>120000</v>
      </c>
      <c r="D33" s="62"/>
    </row>
    <row r="34" spans="1:4">
      <c r="A34" s="61">
        <v>31</v>
      </c>
      <c r="B34" s="62" t="s">
        <v>239</v>
      </c>
      <c r="C34" s="63">
        <v>400000</v>
      </c>
      <c r="D34" s="62"/>
    </row>
    <row r="35" spans="1:4">
      <c r="A35" s="61">
        <v>32</v>
      </c>
      <c r="B35" s="62" t="s">
        <v>267</v>
      </c>
      <c r="C35" s="62"/>
      <c r="D35" s="63">
        <v>150000</v>
      </c>
    </row>
    <row r="36" spans="1:4">
      <c r="A36" s="61"/>
      <c r="B36" s="62"/>
      <c r="C36" s="62"/>
      <c r="D36" s="63"/>
    </row>
    <row r="37" spans="1:4">
      <c r="A37" s="64" t="s">
        <v>268</v>
      </c>
      <c r="B37" s="65"/>
      <c r="C37" s="66">
        <f>SUM(C4:C36)</f>
        <v>1710000</v>
      </c>
      <c r="D37" s="66">
        <f>SUM(D4:D36)</f>
        <v>1710000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D11" sqref="D11"/>
    </sheetView>
  </sheetViews>
  <sheetFormatPr defaultRowHeight="14"/>
  <cols>
    <col min="1" max="1" width="26.33203125" customWidth="1"/>
    <col min="2" max="2" width="11.4140625" customWidth="1"/>
    <col min="3" max="3" width="11" customWidth="1"/>
    <col min="4" max="4" width="26.4140625" customWidth="1"/>
    <col min="5" max="5" width="10.9140625" customWidth="1"/>
    <col min="6" max="6" width="11.4140625" customWidth="1"/>
  </cols>
  <sheetData>
    <row r="1" spans="1:6" ht="18">
      <c r="A1" s="73" t="s">
        <v>280</v>
      </c>
      <c r="B1" s="74"/>
      <c r="C1" s="74"/>
      <c r="D1" s="74"/>
      <c r="E1" s="74"/>
      <c r="F1" s="74"/>
    </row>
    <row r="2" spans="1:6">
      <c r="A2" s="67"/>
      <c r="B2" s="68"/>
      <c r="C2" s="68"/>
      <c r="D2" s="68"/>
      <c r="E2" s="68"/>
      <c r="F2" s="69"/>
    </row>
    <row r="3" spans="1:6" ht="15.5">
      <c r="A3" s="75" t="s">
        <v>18</v>
      </c>
      <c r="B3" s="75" t="s">
        <v>160</v>
      </c>
      <c r="C3" s="75" t="s">
        <v>160</v>
      </c>
      <c r="D3" s="75" t="s">
        <v>18</v>
      </c>
      <c r="E3" s="75" t="s">
        <v>160</v>
      </c>
      <c r="F3" s="75" t="s">
        <v>160</v>
      </c>
    </row>
    <row r="4" spans="1:6">
      <c r="A4" s="62" t="s">
        <v>270</v>
      </c>
      <c r="B4" s="62"/>
      <c r="C4" s="63">
        <v>120000</v>
      </c>
      <c r="D4" s="62" t="s">
        <v>271</v>
      </c>
      <c r="E4" s="63">
        <v>440000</v>
      </c>
      <c r="F4" s="62"/>
    </row>
    <row r="5" spans="1:6" ht="14.5" thickBot="1">
      <c r="A5" s="62" t="s">
        <v>272</v>
      </c>
      <c r="B5" s="63">
        <v>320000</v>
      </c>
      <c r="C5" s="62"/>
      <c r="D5" s="62" t="s">
        <v>273</v>
      </c>
      <c r="E5" s="70">
        <v>12000</v>
      </c>
      <c r="F5" s="63">
        <v>428000</v>
      </c>
    </row>
    <row r="6" spans="1:6" ht="14.5" thickBot="1">
      <c r="A6" s="62" t="s">
        <v>274</v>
      </c>
      <c r="B6" s="70">
        <v>15000</v>
      </c>
      <c r="C6" s="63">
        <v>305000</v>
      </c>
      <c r="D6" s="62" t="s">
        <v>275</v>
      </c>
      <c r="E6" s="71"/>
      <c r="F6" s="63">
        <v>140000</v>
      </c>
    </row>
    <row r="7" spans="1:6">
      <c r="A7" s="72" t="s">
        <v>276</v>
      </c>
      <c r="B7" s="71"/>
      <c r="C7" s="62"/>
      <c r="D7" s="62"/>
      <c r="E7" s="62"/>
      <c r="F7" s="62"/>
    </row>
    <row r="8" spans="1:6">
      <c r="A8" s="62" t="s">
        <v>277</v>
      </c>
      <c r="B8" s="62"/>
      <c r="C8" s="63">
        <v>18000</v>
      </c>
      <c r="D8" s="62"/>
      <c r="E8" s="62"/>
      <c r="F8" s="62"/>
    </row>
    <row r="9" spans="1:6">
      <c r="A9" s="62" t="s">
        <v>278</v>
      </c>
      <c r="B9" s="62"/>
      <c r="C9" s="63">
        <v>6000</v>
      </c>
      <c r="D9" s="62"/>
      <c r="E9" s="62"/>
      <c r="F9" s="62"/>
    </row>
    <row r="10" spans="1:6">
      <c r="A10" s="62" t="s">
        <v>279</v>
      </c>
      <c r="B10" s="62"/>
      <c r="C10" s="63">
        <v>119000</v>
      </c>
      <c r="D10" s="62"/>
      <c r="E10" s="62"/>
      <c r="F10" s="62"/>
    </row>
    <row r="11" spans="1:6">
      <c r="A11" s="62"/>
      <c r="B11" s="62"/>
      <c r="C11" s="66">
        <f>SUM(C4:C10)</f>
        <v>568000</v>
      </c>
      <c r="D11" s="62"/>
      <c r="E11" s="62"/>
      <c r="F11" s="66">
        <f>SUM(F5:F10)</f>
        <v>568000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H13" sqref="H13"/>
    </sheetView>
  </sheetViews>
  <sheetFormatPr defaultRowHeight="14"/>
  <cols>
    <col min="1" max="1" width="30.9140625" customWidth="1"/>
    <col min="2" max="2" width="11.5" customWidth="1"/>
    <col min="3" max="3" width="11.4140625" customWidth="1"/>
    <col min="4" max="4" width="30.83203125" customWidth="1"/>
    <col min="5" max="5" width="8.9140625" bestFit="1" customWidth="1"/>
  </cols>
  <sheetData>
    <row r="1" spans="1:6" ht="18">
      <c r="A1" s="73" t="s">
        <v>302</v>
      </c>
      <c r="B1" s="74"/>
      <c r="C1" s="74"/>
      <c r="D1" s="74"/>
      <c r="E1" s="74"/>
      <c r="F1" s="74"/>
    </row>
    <row r="2" spans="1:6">
      <c r="A2" s="67"/>
      <c r="B2" s="68"/>
      <c r="C2" s="68"/>
      <c r="D2" s="68"/>
      <c r="E2" s="68"/>
      <c r="F2" s="76"/>
    </row>
    <row r="3" spans="1:6" ht="15.5">
      <c r="A3" s="75" t="s">
        <v>18</v>
      </c>
      <c r="B3" s="75" t="s">
        <v>160</v>
      </c>
      <c r="C3" s="75" t="s">
        <v>160</v>
      </c>
      <c r="D3" s="75" t="s">
        <v>18</v>
      </c>
      <c r="E3" s="75" t="s">
        <v>160</v>
      </c>
      <c r="F3" s="75" t="s">
        <v>160</v>
      </c>
    </row>
    <row r="4" spans="1:6">
      <c r="A4" s="62" t="s">
        <v>281</v>
      </c>
      <c r="B4" s="63">
        <v>28000</v>
      </c>
      <c r="C4" s="62"/>
      <c r="D4" s="62" t="s">
        <v>282</v>
      </c>
      <c r="E4" s="62"/>
      <c r="F4" s="63">
        <v>119000</v>
      </c>
    </row>
    <row r="5" spans="1:6" ht="14.5" thickBot="1">
      <c r="A5" s="62" t="s">
        <v>283</v>
      </c>
      <c r="B5" s="70">
        <v>4000</v>
      </c>
      <c r="C5" s="63">
        <v>32000</v>
      </c>
      <c r="D5" s="62" t="s">
        <v>284</v>
      </c>
      <c r="E5" s="62"/>
      <c r="F5" s="63">
        <v>10000</v>
      </c>
    </row>
    <row r="6" spans="1:6">
      <c r="A6" s="62" t="s">
        <v>285</v>
      </c>
      <c r="B6" s="71"/>
      <c r="C6" s="63">
        <v>8000</v>
      </c>
      <c r="D6" s="62" t="s">
        <v>286</v>
      </c>
      <c r="E6" s="62"/>
      <c r="F6" s="63">
        <v>11000</v>
      </c>
    </row>
    <row r="7" spans="1:6">
      <c r="A7" s="62" t="s">
        <v>287</v>
      </c>
      <c r="B7" s="62"/>
      <c r="C7" s="63">
        <v>22000</v>
      </c>
      <c r="D7" s="62" t="s">
        <v>288</v>
      </c>
      <c r="E7" s="62"/>
      <c r="F7" s="63">
        <v>4000</v>
      </c>
    </row>
    <row r="8" spans="1:6">
      <c r="A8" s="62" t="s">
        <v>289</v>
      </c>
      <c r="B8" s="62"/>
      <c r="C8" s="63">
        <v>7000</v>
      </c>
      <c r="D8" s="62"/>
      <c r="E8" s="62"/>
      <c r="F8" s="62"/>
    </row>
    <row r="9" spans="1:6">
      <c r="A9" s="62" t="s">
        <v>290</v>
      </c>
      <c r="B9" s="63">
        <v>8000</v>
      </c>
      <c r="C9" s="62"/>
      <c r="D9" s="62"/>
      <c r="E9" s="62"/>
      <c r="F9" s="62"/>
    </row>
    <row r="10" spans="1:6" ht="14.5" thickBot="1">
      <c r="A10" s="62" t="s">
        <v>291</v>
      </c>
      <c r="B10" s="70">
        <v>2000</v>
      </c>
      <c r="C10" s="63">
        <v>6000</v>
      </c>
      <c r="D10" s="62"/>
      <c r="E10" s="62"/>
      <c r="F10" s="62"/>
    </row>
    <row r="11" spans="1:6">
      <c r="A11" s="62" t="s">
        <v>292</v>
      </c>
      <c r="B11" s="71"/>
      <c r="C11" s="63">
        <v>5000</v>
      </c>
      <c r="D11" s="62"/>
      <c r="E11" s="62"/>
      <c r="F11" s="62"/>
    </row>
    <row r="12" spans="1:6">
      <c r="A12" s="62" t="s">
        <v>293</v>
      </c>
      <c r="B12" s="62"/>
      <c r="C12" s="63">
        <v>10000</v>
      </c>
      <c r="D12" s="62"/>
      <c r="E12" s="62"/>
      <c r="F12" s="62"/>
    </row>
    <row r="13" spans="1:6">
      <c r="A13" s="62" t="s">
        <v>294</v>
      </c>
      <c r="B13" s="62"/>
      <c r="C13" s="63">
        <v>3500</v>
      </c>
      <c r="D13" s="62"/>
      <c r="E13" s="62"/>
      <c r="F13" s="62"/>
    </row>
    <row r="14" spans="1:6">
      <c r="A14" s="62" t="s">
        <v>295</v>
      </c>
      <c r="B14" s="63">
        <v>7000</v>
      </c>
      <c r="C14" s="62"/>
      <c r="D14" s="62"/>
      <c r="E14" s="62"/>
      <c r="F14" s="62"/>
    </row>
    <row r="15" spans="1:6" ht="14.5" thickBot="1">
      <c r="A15" s="62" t="s">
        <v>296</v>
      </c>
      <c r="B15" s="70">
        <v>3000</v>
      </c>
      <c r="C15" s="63">
        <v>10000</v>
      </c>
      <c r="D15" s="62"/>
      <c r="E15" s="62"/>
      <c r="F15" s="62"/>
    </row>
    <row r="16" spans="1:6">
      <c r="A16" s="62" t="s">
        <v>297</v>
      </c>
      <c r="B16" s="71"/>
      <c r="C16" s="63">
        <v>2083</v>
      </c>
      <c r="D16" s="62"/>
      <c r="E16" s="62"/>
      <c r="F16" s="62"/>
    </row>
    <row r="17" spans="1:6">
      <c r="A17" s="62" t="s">
        <v>298</v>
      </c>
      <c r="B17" s="62"/>
      <c r="C17" s="62">
        <v>458</v>
      </c>
      <c r="D17" s="62"/>
      <c r="E17" s="62"/>
      <c r="F17" s="62"/>
    </row>
    <row r="18" spans="1:6">
      <c r="A18" s="62" t="s">
        <v>299</v>
      </c>
      <c r="B18" s="62"/>
      <c r="C18" s="63">
        <v>1667</v>
      </c>
      <c r="D18" s="62"/>
      <c r="E18" s="62"/>
      <c r="F18" s="62"/>
    </row>
    <row r="19" spans="1:6">
      <c r="A19" s="62" t="s">
        <v>300</v>
      </c>
      <c r="B19" s="62"/>
      <c r="C19" s="62">
        <v>500</v>
      </c>
      <c r="D19" s="62"/>
      <c r="E19" s="62"/>
      <c r="F19" s="62"/>
    </row>
    <row r="20" spans="1:6">
      <c r="A20" s="62" t="s">
        <v>301</v>
      </c>
      <c r="B20" s="62"/>
      <c r="C20" s="63">
        <v>35792</v>
      </c>
      <c r="D20" s="62"/>
      <c r="E20" s="62"/>
      <c r="F20" s="62"/>
    </row>
    <row r="21" spans="1:6">
      <c r="A21" s="62"/>
      <c r="B21" s="62"/>
      <c r="C21" s="66">
        <v>144000</v>
      </c>
      <c r="D21" s="62"/>
      <c r="E21" s="62"/>
      <c r="F21" s="66"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2" sqref="F22"/>
    </sheetView>
  </sheetViews>
  <sheetFormatPr defaultRowHeight="14"/>
  <cols>
    <col min="1" max="1" width="26.4140625" customWidth="1"/>
    <col min="2" max="2" width="10.83203125" customWidth="1"/>
    <col min="3" max="3" width="11.4140625" customWidth="1"/>
    <col min="4" max="4" width="26.08203125" customWidth="1"/>
    <col min="5" max="5" width="11.4140625" customWidth="1"/>
    <col min="6" max="6" width="11.08203125" customWidth="1"/>
  </cols>
  <sheetData>
    <row r="1" spans="1:6" ht="18">
      <c r="A1" s="40" t="s">
        <v>305</v>
      </c>
      <c r="B1" s="40"/>
      <c r="C1" s="40"/>
      <c r="D1" s="40"/>
      <c r="E1" s="40"/>
      <c r="F1" s="40"/>
    </row>
    <row r="3" spans="1:6" ht="15.5">
      <c r="A3" s="77" t="s">
        <v>303</v>
      </c>
      <c r="B3" s="77" t="s">
        <v>160</v>
      </c>
      <c r="C3" s="77" t="s">
        <v>160</v>
      </c>
      <c r="D3" s="77" t="s">
        <v>304</v>
      </c>
      <c r="E3" s="77" t="s">
        <v>160</v>
      </c>
      <c r="F3" s="77" t="s">
        <v>160</v>
      </c>
    </row>
    <row r="4" spans="1:6">
      <c r="A4" s="79" t="s">
        <v>306</v>
      </c>
      <c r="B4" s="80">
        <v>905000</v>
      </c>
      <c r="C4" s="78"/>
      <c r="D4" s="72" t="s">
        <v>307</v>
      </c>
      <c r="E4" s="78"/>
      <c r="F4" s="78"/>
    </row>
    <row r="5" spans="1:6">
      <c r="A5" s="72" t="s">
        <v>308</v>
      </c>
      <c r="B5" s="80">
        <v>35792</v>
      </c>
      <c r="C5" s="78"/>
      <c r="D5" s="79" t="s">
        <v>309</v>
      </c>
      <c r="E5" s="80">
        <v>60000</v>
      </c>
      <c r="F5" s="78"/>
    </row>
    <row r="6" spans="1:6">
      <c r="A6" s="79"/>
      <c r="B6" s="80">
        <v>940792</v>
      </c>
      <c r="C6" s="78"/>
      <c r="D6" s="72" t="s">
        <v>310</v>
      </c>
      <c r="E6" s="78">
        <v>500</v>
      </c>
      <c r="F6" s="80">
        <v>59500</v>
      </c>
    </row>
    <row r="7" spans="1:6">
      <c r="A7" s="72" t="s">
        <v>311</v>
      </c>
      <c r="B7" s="80">
        <v>15000</v>
      </c>
      <c r="C7" s="80">
        <v>925792</v>
      </c>
      <c r="D7" s="79" t="s">
        <v>312</v>
      </c>
      <c r="E7" s="80">
        <v>250000</v>
      </c>
      <c r="F7" s="78"/>
    </row>
    <row r="8" spans="1:6">
      <c r="A8" s="72" t="s">
        <v>313</v>
      </c>
      <c r="B8" s="78"/>
      <c r="C8" s="78"/>
      <c r="D8" s="72" t="s">
        <v>314</v>
      </c>
      <c r="E8" s="80">
        <v>2083</v>
      </c>
      <c r="F8" s="80">
        <v>247917</v>
      </c>
    </row>
    <row r="9" spans="1:6">
      <c r="A9" s="79" t="s">
        <v>315</v>
      </c>
      <c r="B9" s="78"/>
      <c r="C9" s="80">
        <v>4000</v>
      </c>
      <c r="D9" s="79" t="s">
        <v>316</v>
      </c>
      <c r="E9" s="80">
        <v>110000</v>
      </c>
      <c r="F9" s="78"/>
    </row>
    <row r="10" spans="1:6">
      <c r="A10" s="79" t="s">
        <v>317</v>
      </c>
      <c r="B10" s="78"/>
      <c r="C10" s="80">
        <v>3000</v>
      </c>
      <c r="D10" s="72" t="s">
        <v>310</v>
      </c>
      <c r="E10" s="78">
        <v>458</v>
      </c>
      <c r="F10" s="82">
        <v>109542</v>
      </c>
    </row>
    <row r="11" spans="1:6">
      <c r="A11" s="72" t="s">
        <v>318</v>
      </c>
      <c r="B11" s="78"/>
      <c r="C11" s="78"/>
      <c r="D11" s="79" t="s">
        <v>319</v>
      </c>
      <c r="E11" s="80">
        <v>400000</v>
      </c>
      <c r="F11" s="78"/>
    </row>
    <row r="12" spans="1:6">
      <c r="A12" s="79" t="s">
        <v>320</v>
      </c>
      <c r="B12" s="78"/>
      <c r="C12" s="80">
        <v>25000</v>
      </c>
      <c r="D12" s="72" t="s">
        <v>321</v>
      </c>
      <c r="E12" s="80">
        <v>1667</v>
      </c>
      <c r="F12" s="80">
        <v>398333</v>
      </c>
    </row>
    <row r="13" spans="1:6">
      <c r="A13" s="79" t="s">
        <v>322</v>
      </c>
      <c r="B13" s="78"/>
      <c r="C13" s="80">
        <v>150000</v>
      </c>
      <c r="D13" s="72" t="s">
        <v>323</v>
      </c>
      <c r="E13" s="78"/>
      <c r="F13" s="78"/>
    </row>
    <row r="14" spans="1:6">
      <c r="A14" s="72" t="s">
        <v>324</v>
      </c>
      <c r="B14" s="78"/>
      <c r="C14" s="78"/>
      <c r="D14" s="79" t="s">
        <v>325</v>
      </c>
      <c r="E14" s="78"/>
      <c r="F14" s="80">
        <v>144500</v>
      </c>
    </row>
    <row r="15" spans="1:6">
      <c r="A15" s="79" t="s">
        <v>326</v>
      </c>
      <c r="B15" s="78"/>
      <c r="C15" s="80">
        <v>150000</v>
      </c>
      <c r="D15" s="79" t="s">
        <v>21</v>
      </c>
      <c r="E15" s="78"/>
      <c r="F15" s="80">
        <v>56000</v>
      </c>
    </row>
    <row r="16" spans="1:6">
      <c r="A16" s="79"/>
      <c r="B16" s="78"/>
      <c r="C16" s="79"/>
      <c r="D16" s="79" t="s">
        <v>327</v>
      </c>
      <c r="E16" s="78"/>
      <c r="F16" s="80">
        <v>2000</v>
      </c>
    </row>
    <row r="17" spans="1:6">
      <c r="A17" s="79"/>
      <c r="B17" s="78"/>
      <c r="C17" s="79"/>
      <c r="D17" s="79" t="s">
        <v>328</v>
      </c>
      <c r="E17" s="78"/>
      <c r="F17" s="80">
        <v>140000</v>
      </c>
    </row>
    <row r="18" spans="1:6">
      <c r="A18" s="79"/>
      <c r="B18" s="78"/>
      <c r="C18" s="78"/>
      <c r="D18" s="72" t="s">
        <v>329</v>
      </c>
      <c r="E18" s="78"/>
      <c r="F18" s="78"/>
    </row>
    <row r="19" spans="1:6">
      <c r="A19" s="79"/>
      <c r="B19" s="78"/>
      <c r="C19" s="78"/>
      <c r="D19" s="79" t="s">
        <v>330</v>
      </c>
      <c r="E19" s="78"/>
      <c r="F19" s="80">
        <v>25000</v>
      </c>
    </row>
    <row r="20" spans="1:6">
      <c r="A20" s="79"/>
      <c r="B20" s="78"/>
      <c r="C20" s="78"/>
      <c r="D20" s="79" t="s">
        <v>331</v>
      </c>
      <c r="E20" s="78"/>
      <c r="F20" s="80">
        <v>75000</v>
      </c>
    </row>
    <row r="21" spans="1:6">
      <c r="A21" s="79"/>
      <c r="B21" s="78"/>
      <c r="C21" s="81">
        <v>1257792</v>
      </c>
      <c r="D21" s="79"/>
      <c r="E21" s="78"/>
      <c r="F21" s="81">
        <f>SUM(F6:F20)</f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C1" sqref="C1"/>
    </sheetView>
  </sheetViews>
  <sheetFormatPr defaultRowHeight="14"/>
  <cols>
    <col min="1" max="1" width="42.4140625" customWidth="1"/>
    <col min="2" max="2" width="58.6640625" customWidth="1"/>
    <col min="3" max="3" width="84.9140625" customWidth="1"/>
  </cols>
  <sheetData>
    <row r="1" spans="1:3" ht="18">
      <c r="A1" s="95" t="s">
        <v>332</v>
      </c>
      <c r="B1" s="95"/>
      <c r="C1" s="98" t="s">
        <v>333</v>
      </c>
    </row>
    <row r="2" spans="1:3">
      <c r="A2" s="83" t="s">
        <v>334</v>
      </c>
      <c r="B2" s="84" t="s">
        <v>335</v>
      </c>
      <c r="C2" s="85" t="s">
        <v>336</v>
      </c>
    </row>
    <row r="3" spans="1:3">
      <c r="A3" s="96" t="s">
        <v>337</v>
      </c>
      <c r="B3" s="87">
        <v>442500</v>
      </c>
      <c r="C3" s="86" t="s">
        <v>338</v>
      </c>
    </row>
    <row r="4" spans="1:3">
      <c r="A4" s="96" t="s">
        <v>339</v>
      </c>
      <c r="B4" s="87">
        <v>182000</v>
      </c>
      <c r="C4" s="86" t="s">
        <v>340</v>
      </c>
    </row>
    <row r="5" spans="1:3">
      <c r="A5" s="97" t="s">
        <v>9</v>
      </c>
      <c r="B5" s="88">
        <v>2.4313186813186811</v>
      </c>
      <c r="C5" s="89" t="s">
        <v>341</v>
      </c>
    </row>
    <row r="6" spans="1:3">
      <c r="A6" s="83" t="s">
        <v>342</v>
      </c>
      <c r="B6" s="84" t="s">
        <v>343</v>
      </c>
      <c r="C6" s="86" t="s">
        <v>344</v>
      </c>
    </row>
    <row r="7" spans="1:3">
      <c r="A7" s="96" t="s">
        <v>345</v>
      </c>
      <c r="B7" s="87">
        <v>300500</v>
      </c>
      <c r="C7" s="86" t="s">
        <v>346</v>
      </c>
    </row>
    <row r="8" spans="1:3">
      <c r="A8" s="96" t="s">
        <v>339</v>
      </c>
      <c r="B8" s="87">
        <v>182000</v>
      </c>
      <c r="C8" s="86" t="s">
        <v>347</v>
      </c>
    </row>
    <row r="9" spans="1:3">
      <c r="A9" s="97" t="s">
        <v>10</v>
      </c>
      <c r="B9" s="88">
        <v>1.651098901098901</v>
      </c>
      <c r="C9" s="89" t="s">
        <v>348</v>
      </c>
    </row>
    <row r="10" spans="1:3">
      <c r="A10" s="83" t="s">
        <v>349</v>
      </c>
      <c r="B10" s="84" t="s">
        <v>350</v>
      </c>
      <c r="C10" s="85" t="s">
        <v>351</v>
      </c>
    </row>
    <row r="11" spans="1:3">
      <c r="A11" s="96" t="s">
        <v>352</v>
      </c>
      <c r="B11" s="87">
        <v>200500</v>
      </c>
      <c r="C11" s="86" t="s">
        <v>353</v>
      </c>
    </row>
    <row r="12" spans="1:3">
      <c r="A12" s="96" t="s">
        <v>313</v>
      </c>
      <c r="B12" s="87">
        <v>182000</v>
      </c>
      <c r="C12" s="86" t="s">
        <v>354</v>
      </c>
    </row>
    <row r="13" spans="1:3">
      <c r="A13" s="97" t="s">
        <v>16</v>
      </c>
      <c r="B13" s="88">
        <v>1.1016483516483517</v>
      </c>
      <c r="C13" s="89" t="s">
        <v>355</v>
      </c>
    </row>
    <row r="14" spans="1:3">
      <c r="A14" s="90" t="s">
        <v>356</v>
      </c>
      <c r="B14" s="91" t="s">
        <v>357</v>
      </c>
      <c r="C14" s="86" t="s">
        <v>358</v>
      </c>
    </row>
    <row r="15" spans="1:3">
      <c r="A15" s="96" t="s">
        <v>359</v>
      </c>
      <c r="B15" s="92">
        <v>325000</v>
      </c>
      <c r="C15" s="86" t="s">
        <v>360</v>
      </c>
    </row>
    <row r="16" spans="1:3">
      <c r="A16" s="96" t="s">
        <v>361</v>
      </c>
      <c r="B16" s="87">
        <v>325792</v>
      </c>
      <c r="C16" s="86" t="s">
        <v>362</v>
      </c>
    </row>
    <row r="17" spans="1:3">
      <c r="A17" s="97" t="s">
        <v>363</v>
      </c>
      <c r="B17" s="93">
        <v>0.997569001080444</v>
      </c>
      <c r="C17" s="89" t="s">
        <v>364</v>
      </c>
    </row>
    <row r="18" spans="1:3">
      <c r="A18" s="83" t="s">
        <v>365</v>
      </c>
      <c r="B18" s="84" t="s">
        <v>366</v>
      </c>
      <c r="C18" s="85" t="s">
        <v>367</v>
      </c>
    </row>
    <row r="19" spans="1:3">
      <c r="A19" s="96" t="s">
        <v>359</v>
      </c>
      <c r="B19" s="92">
        <v>325000</v>
      </c>
      <c r="C19" s="86" t="s">
        <v>368</v>
      </c>
    </row>
    <row r="20" spans="1:3">
      <c r="A20" s="96" t="s">
        <v>369</v>
      </c>
      <c r="B20" s="87">
        <v>1257792</v>
      </c>
      <c r="C20" s="86" t="s">
        <v>370</v>
      </c>
    </row>
    <row r="21" spans="1:3">
      <c r="A21" s="97" t="s">
        <v>371</v>
      </c>
      <c r="B21" s="93">
        <v>0.25838930443189334</v>
      </c>
      <c r="C21" s="89" t="s">
        <v>372</v>
      </c>
    </row>
    <row r="22" spans="1:3">
      <c r="A22" s="90" t="s">
        <v>373</v>
      </c>
      <c r="B22" s="91" t="s">
        <v>374</v>
      </c>
      <c r="C22" s="85" t="s">
        <v>375</v>
      </c>
    </row>
    <row r="23" spans="1:3">
      <c r="A23" s="96" t="s">
        <v>376</v>
      </c>
      <c r="B23" s="87">
        <v>428000</v>
      </c>
      <c r="C23" s="86" t="s">
        <v>377</v>
      </c>
    </row>
    <row r="24" spans="1:3">
      <c r="A24" s="96" t="s">
        <v>369</v>
      </c>
      <c r="B24" s="87">
        <v>1257792</v>
      </c>
      <c r="C24" s="86" t="s">
        <v>378</v>
      </c>
    </row>
    <row r="25" spans="1:3">
      <c r="A25" s="97" t="s">
        <v>379</v>
      </c>
      <c r="B25" s="93">
        <v>0.34027883783646262</v>
      </c>
      <c r="C25" s="89" t="s">
        <v>380</v>
      </c>
    </row>
    <row r="26" spans="1:3">
      <c r="A26" s="90" t="s">
        <v>381</v>
      </c>
      <c r="B26" s="91" t="s">
        <v>382</v>
      </c>
      <c r="C26" s="85" t="s">
        <v>383</v>
      </c>
    </row>
    <row r="27" spans="1:3">
      <c r="A27" s="96" t="s">
        <v>384</v>
      </c>
      <c r="B27" s="87">
        <v>430000</v>
      </c>
      <c r="C27" s="86" t="s">
        <v>385</v>
      </c>
    </row>
    <row r="28" spans="1:3">
      <c r="A28" s="96" t="s">
        <v>386</v>
      </c>
      <c r="B28" s="87">
        <v>200000</v>
      </c>
      <c r="C28" s="86" t="s">
        <v>387</v>
      </c>
    </row>
    <row r="29" spans="1:3">
      <c r="A29" s="97" t="s">
        <v>14</v>
      </c>
      <c r="B29" s="93">
        <v>2.15</v>
      </c>
      <c r="C29" s="94" t="s">
        <v>388</v>
      </c>
    </row>
    <row r="30" spans="1:3">
      <c r="A30" s="90" t="s">
        <v>389</v>
      </c>
      <c r="B30" s="91" t="s">
        <v>390</v>
      </c>
      <c r="C30" s="86" t="s">
        <v>391</v>
      </c>
    </row>
    <row r="31" spans="1:3">
      <c r="A31" s="96" t="s">
        <v>376</v>
      </c>
      <c r="B31" s="87">
        <v>428000</v>
      </c>
      <c r="C31" s="86" t="s">
        <v>392</v>
      </c>
    </row>
    <row r="32" spans="1:3">
      <c r="A32" s="96" t="s">
        <v>393</v>
      </c>
      <c r="B32" s="87">
        <v>260500</v>
      </c>
      <c r="C32" s="86" t="s">
        <v>394</v>
      </c>
    </row>
    <row r="33" spans="1:3">
      <c r="A33" s="97" t="s">
        <v>15</v>
      </c>
      <c r="B33" s="93">
        <v>1.6429942418426104</v>
      </c>
      <c r="C33" s="89" t="s">
        <v>395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 </vt:lpstr>
      <vt:lpstr>Journal</vt:lpstr>
      <vt:lpstr>ledger</vt:lpstr>
      <vt:lpstr>Trial balance </vt:lpstr>
      <vt:lpstr>Trading account</vt:lpstr>
      <vt:lpstr>Profit &amp; loss account</vt:lpstr>
      <vt:lpstr>Balance sheet</vt:lpstr>
      <vt:lpstr>Ratio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</dc:creator>
  <cp:lastModifiedBy>Admin</cp:lastModifiedBy>
  <dcterms:created xsi:type="dcterms:W3CDTF">2026-09-22T03:28:04Z</dcterms:created>
  <dcterms:modified xsi:type="dcterms:W3CDTF">2026-09-28T03:32:03Z</dcterms:modified>
</cp:coreProperties>
</file>